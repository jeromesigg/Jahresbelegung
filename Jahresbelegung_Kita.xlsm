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_dev\"/>
    </mc:Choice>
  </mc:AlternateContent>
  <xr:revisionPtr revIDLastSave="0" documentId="13_ncr:1_{EB5AB249-CF6A-4F3E-987A-773F3915EEED}" xr6:coauthVersionLast="47" xr6:coauthVersionMax="47" xr10:uidLastSave="{00000000-0000-0000-0000-000000000000}"/>
  <bookViews>
    <workbookView xWindow="-38400" yWindow="380" windowWidth="38400" windowHeight="1801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G8" i="15" l="1"/>
  <c r="CG9" i="15"/>
  <c r="CO8" i="15"/>
  <c r="CO9" i="15"/>
  <c r="BQ9" i="15"/>
  <c r="BQ8" i="15"/>
  <c r="BA9" i="15"/>
  <c r="BA8" i="15"/>
  <c r="AK9" i="15"/>
  <c r="AK8" i="15"/>
  <c r="Y5" i="15"/>
  <c r="AG5" i="15" s="1"/>
  <c r="AO5" i="15" s="1"/>
  <c r="AW5" i="15" s="1"/>
  <c r="BE5" i="15" s="1"/>
  <c r="BM5" i="15" s="1"/>
  <c r="BU5" i="15" s="1"/>
  <c r="CC5" i="15" s="1"/>
  <c r="CK5" i="15" s="1"/>
  <c r="CS5" i="15" s="1"/>
  <c r="DA5" i="15" s="1"/>
  <c r="DI5" i="15" s="1"/>
  <c r="Z5" i="15"/>
  <c r="AH5" i="15" s="1"/>
  <c r="AP5" i="15" s="1"/>
  <c r="AX5" i="15" s="1"/>
  <c r="BF5" i="15" s="1"/>
  <c r="BN5" i="15" s="1"/>
  <c r="BV5" i="15" s="1"/>
  <c r="CD5" i="15" s="1"/>
  <c r="CL5" i="15" s="1"/>
  <c r="CT5" i="15" s="1"/>
  <c r="DB5" i="15" s="1"/>
  <c r="DJ5" i="15" s="1"/>
  <c r="AA5" i="15"/>
  <c r="AI5" i="15" s="1"/>
  <c r="AQ5" i="15" s="1"/>
  <c r="AY5" i="15" s="1"/>
  <c r="BG5" i="15" s="1"/>
  <c r="BO5" i="15" s="1"/>
  <c r="BW5" i="15" s="1"/>
  <c r="CE5" i="15" s="1"/>
  <c r="CM5" i="15" s="1"/>
  <c r="CU5" i="15" s="1"/>
  <c r="DC5" i="15" s="1"/>
  <c r="DK5" i="15" s="1"/>
  <c r="AB5" i="15"/>
  <c r="AJ5" i="15" s="1"/>
  <c r="AR5" i="15" s="1"/>
  <c r="AZ5" i="15" s="1"/>
  <c r="BH5" i="15" s="1"/>
  <c r="BP5" i="15" s="1"/>
  <c r="BX5" i="15" s="1"/>
  <c r="CF5" i="15" s="1"/>
  <c r="CN5" i="15" s="1"/>
  <c r="CV5" i="15" s="1"/>
  <c r="DD5" i="15" s="1"/>
  <c r="DL5" i="15" s="1"/>
  <c r="X5" i="15"/>
  <c r="AF5" i="15" s="1"/>
  <c r="AN5" i="15" s="1"/>
  <c r="AV5" i="15" s="1"/>
  <c r="BD5" i="15" s="1"/>
  <c r="BL5" i="15" s="1"/>
  <c r="BT5" i="15" s="1"/>
  <c r="CB5" i="15" s="1"/>
  <c r="CJ5" i="15" s="1"/>
  <c r="CR5" i="15" s="1"/>
  <c r="CZ5" i="15" s="1"/>
  <c r="DH5" i="15" s="1"/>
  <c r="I14" i="15"/>
  <c r="J14" i="15"/>
  <c r="K14" i="15"/>
  <c r="L14" i="15"/>
  <c r="I15" i="15"/>
  <c r="J15" i="15"/>
  <c r="K15" i="15"/>
  <c r="L15" i="15"/>
  <c r="H15" i="15"/>
  <c r="H14" i="15"/>
  <c r="O7" i="6"/>
  <c r="N20" i="6"/>
  <c r="N19" i="6"/>
  <c r="N17" i="6"/>
  <c r="N16" i="6"/>
  <c r="N14" i="6"/>
  <c r="N13" i="6"/>
  <c r="N11" i="6"/>
  <c r="N10" i="6"/>
  <c r="U8" i="15"/>
  <c r="AC8" i="15" s="1"/>
  <c r="U9" i="15"/>
  <c r="AC9" i="15" s="1"/>
  <c r="I11" i="15"/>
  <c r="J11" i="15"/>
  <c r="K11" i="15"/>
  <c r="L11" i="15"/>
  <c r="H11" i="15"/>
  <c r="CH9" i="15"/>
  <c r="C9" i="15"/>
  <c r="CH8" i="15"/>
  <c r="C8" i="15"/>
  <c r="CF12" i="15"/>
  <c r="CE12" i="15"/>
  <c r="CD12" i="15"/>
  <c r="CC12" i="15"/>
  <c r="CB12" i="15"/>
  <c r="A3" i="15"/>
  <c r="CB4" i="15" s="1"/>
  <c r="DL12" i="15"/>
  <c r="DK12" i="15"/>
  <c r="DJ12" i="15"/>
  <c r="DI12" i="15"/>
  <c r="DH12" i="15"/>
  <c r="CV12" i="15"/>
  <c r="CU12" i="15"/>
  <c r="CT12" i="15"/>
  <c r="CS12" i="15"/>
  <c r="CR12" i="15"/>
  <c r="DD12" i="15"/>
  <c r="DC12" i="15"/>
  <c r="DB12" i="15"/>
  <c r="DA12" i="15"/>
  <c r="CZ12" i="15"/>
  <c r="CN12" i="15"/>
  <c r="CM12" i="15"/>
  <c r="CL12" i="15"/>
  <c r="CK12" i="15"/>
  <c r="CJ12" i="15"/>
  <c r="BP12" i="15"/>
  <c r="BO12" i="15"/>
  <c r="BN12" i="15"/>
  <c r="BM12" i="15"/>
  <c r="BL12" i="15"/>
  <c r="AZ12" i="15"/>
  <c r="AY12" i="15"/>
  <c r="AX12" i="15"/>
  <c r="AW12" i="15"/>
  <c r="AV12" i="15"/>
  <c r="AJ12" i="15"/>
  <c r="AI12" i="15"/>
  <c r="AH12" i="15"/>
  <c r="AG12" i="15"/>
  <c r="AF12" i="15"/>
  <c r="T12" i="15"/>
  <c r="S12" i="15"/>
  <c r="R12" i="15"/>
  <c r="Q12" i="15"/>
  <c r="P12" i="15"/>
  <c r="BX12" i="15"/>
  <c r="BW12" i="15"/>
  <c r="BV12" i="15"/>
  <c r="BU12" i="15"/>
  <c r="BT12" i="15"/>
  <c r="BH12" i="15"/>
  <c r="BG12" i="15"/>
  <c r="BF12" i="15"/>
  <c r="BE12" i="15"/>
  <c r="BD12" i="15"/>
  <c r="AR12" i="15"/>
  <c r="AQ12" i="15"/>
  <c r="AP12" i="15"/>
  <c r="AO12" i="15"/>
  <c r="AN12" i="15"/>
  <c r="AB12" i="15"/>
  <c r="AA12" i="15"/>
  <c r="Z12" i="15"/>
  <c r="Y12" i="15"/>
  <c r="X12" i="15"/>
  <c r="L12" i="15"/>
  <c r="K12" i="15"/>
  <c r="J12" i="15"/>
  <c r="I12" i="15"/>
  <c r="H12" i="15"/>
  <c r="A31" i="6"/>
  <c r="N18" i="6" s="1"/>
  <c r="A23" i="6"/>
  <c r="N15" i="6" s="1"/>
  <c r="A15" i="6"/>
  <c r="N12" i="6" s="1"/>
  <c r="A6" i="6"/>
  <c r="N9" i="6" s="1"/>
  <c r="P9" i="15" l="1"/>
  <c r="S8" i="15"/>
  <c r="AA8" i="15" s="1"/>
  <c r="AI8" i="15" s="1"/>
  <c r="AQ8" i="15" s="1"/>
  <c r="AY8" i="15" s="1"/>
  <c r="BG8" i="15" s="1"/>
  <c r="BO8" i="15" s="1"/>
  <c r="BW8" i="15" s="1"/>
  <c r="CE8" i="15" s="1"/>
  <c r="CM8" i="15" s="1"/>
  <c r="CU8" i="15" s="1"/>
  <c r="DC8" i="15" s="1"/>
  <c r="DK8" i="15" s="1"/>
  <c r="T9" i="15"/>
  <c r="AB9" i="15" s="1"/>
  <c r="AJ9" i="15" s="1"/>
  <c r="AR9" i="15" s="1"/>
  <c r="AZ9" i="15" s="1"/>
  <c r="BH9" i="15" s="1"/>
  <c r="BP9" i="15" s="1"/>
  <c r="BX9" i="15" s="1"/>
  <c r="CF9" i="15" s="1"/>
  <c r="CN9" i="15" s="1"/>
  <c r="CV9" i="15" s="1"/>
  <c r="DD9" i="15" s="1"/>
  <c r="DL9" i="15" s="1"/>
  <c r="R8" i="15"/>
  <c r="S9" i="15"/>
  <c r="AA9" i="15" s="1"/>
  <c r="AI9" i="15" s="1"/>
  <c r="AQ9" i="15" s="1"/>
  <c r="AY9" i="15" s="1"/>
  <c r="BG9" i="15" s="1"/>
  <c r="BO9" i="15" s="1"/>
  <c r="BW9" i="15" s="1"/>
  <c r="CE9" i="15" s="1"/>
  <c r="CM9" i="15" s="1"/>
  <c r="CU9" i="15" s="1"/>
  <c r="DC9" i="15" s="1"/>
  <c r="DK9" i="15" s="1"/>
  <c r="Q8" i="15"/>
  <c r="X9" i="15"/>
  <c r="AF9" i="15" s="1"/>
  <c r="AN9" i="15" s="1"/>
  <c r="AV9" i="15" s="1"/>
  <c r="BD9" i="15" s="1"/>
  <c r="BL9" i="15" s="1"/>
  <c r="BT9" i="15" s="1"/>
  <c r="CB9" i="15" s="1"/>
  <c r="CJ9" i="15" s="1"/>
  <c r="CR9" i="15" s="1"/>
  <c r="CZ9" i="15" s="1"/>
  <c r="DH9" i="15" s="1"/>
  <c r="T8" i="15"/>
  <c r="AB8" i="15" s="1"/>
  <c r="AJ8" i="15" s="1"/>
  <c r="AR8" i="15" s="1"/>
  <c r="AZ8" i="15" s="1"/>
  <c r="BH8" i="15" s="1"/>
  <c r="BP8" i="15" s="1"/>
  <c r="BX8" i="15" s="1"/>
  <c r="CF8" i="15" s="1"/>
  <c r="CN8" i="15" s="1"/>
  <c r="CV8" i="15" s="1"/>
  <c r="DD8" i="15" s="1"/>
  <c r="DL8" i="15" s="1"/>
  <c r="R9" i="15"/>
  <c r="P8" i="15"/>
  <c r="X8" i="15" s="1"/>
  <c r="AF8" i="15" s="1"/>
  <c r="AN8" i="15" s="1"/>
  <c r="AV8" i="15" s="1"/>
  <c r="BD8" i="15" s="1"/>
  <c r="BL8" i="15" s="1"/>
  <c r="BT8" i="15" s="1"/>
  <c r="CB8" i="15" s="1"/>
  <c r="CJ8" i="15" s="1"/>
  <c r="CR8" i="15" s="1"/>
  <c r="CZ8" i="15" s="1"/>
  <c r="DH8" i="15" s="1"/>
  <c r="Z8" i="15"/>
  <c r="AH8" i="15" s="1"/>
  <c r="AP8" i="15" s="1"/>
  <c r="AX8" i="15" s="1"/>
  <c r="BF8" i="15" s="1"/>
  <c r="BN8" i="15" s="1"/>
  <c r="BV8" i="15" s="1"/>
  <c r="CD8" i="15" s="1"/>
  <c r="CL8" i="15" s="1"/>
  <c r="CT8" i="15" s="1"/>
  <c r="DB8" i="15" s="1"/>
  <c r="DJ8" i="15" s="1"/>
  <c r="Q9" i="15"/>
  <c r="Y9" i="15" s="1"/>
  <c r="AG9" i="15" s="1"/>
  <c r="AO9" i="15" s="1"/>
  <c r="AW9" i="15" s="1"/>
  <c r="BE9" i="15" s="1"/>
  <c r="BM9" i="15" s="1"/>
  <c r="BU9" i="15" s="1"/>
  <c r="CC9" i="15" s="1"/>
  <c r="CK9" i="15" s="1"/>
  <c r="CS9" i="15" s="1"/>
  <c r="DA9" i="15" s="1"/>
  <c r="DI9" i="15" s="1"/>
  <c r="Z9" i="15"/>
  <c r="AH9" i="15" s="1"/>
  <c r="AP9" i="15" s="1"/>
  <c r="AX9" i="15" s="1"/>
  <c r="BF9" i="15" s="1"/>
  <c r="BN9" i="15" s="1"/>
  <c r="BV9" i="15" s="1"/>
  <c r="CD9" i="15" s="1"/>
  <c r="CL9" i="15" s="1"/>
  <c r="CT9" i="15" s="1"/>
  <c r="DB9" i="15" s="1"/>
  <c r="DJ9" i="15" s="1"/>
  <c r="T15" i="15"/>
  <c r="R14" i="15"/>
  <c r="AS9" i="15"/>
  <c r="M11" i="15"/>
  <c r="AS8" i="15"/>
  <c r="CG12" i="15"/>
  <c r="T14" i="15"/>
  <c r="P15" i="15"/>
  <c r="BT4" i="15"/>
  <c r="BL4" i="15"/>
  <c r="X4" i="15"/>
  <c r="AF4" i="15"/>
  <c r="CJ4" i="15"/>
  <c r="AN4" i="15"/>
  <c r="CR4" i="15"/>
  <c r="AV4" i="15"/>
  <c r="CZ4" i="15"/>
  <c r="H4" i="15"/>
  <c r="BD4" i="15"/>
  <c r="DH4" i="15"/>
  <c r="P4" i="15"/>
  <c r="U12" i="15"/>
  <c r="AK12" i="15"/>
  <c r="CO12" i="15"/>
  <c r="DE12" i="15"/>
  <c r="DM12" i="15"/>
  <c r="BA12" i="15"/>
  <c r="BQ12" i="15"/>
  <c r="AS12" i="15"/>
  <c r="BY12" i="15"/>
  <c r="CW12" i="15"/>
  <c r="AC12" i="15"/>
  <c r="BI12" i="15"/>
  <c r="K13" i="15"/>
  <c r="J13" i="15"/>
  <c r="M12" i="15"/>
  <c r="H13" i="15"/>
  <c r="I13" i="15"/>
  <c r="L13" i="15"/>
  <c r="S11" i="15" l="1"/>
  <c r="S13" i="15" s="1"/>
  <c r="S15" i="15"/>
  <c r="P14" i="15"/>
  <c r="Q15" i="15"/>
  <c r="Y8" i="15"/>
  <c r="AG8" i="15" s="1"/>
  <c r="AO8" i="15" s="1"/>
  <c r="AW8" i="15" s="1"/>
  <c r="BE8" i="15" s="1"/>
  <c r="BM8" i="15" s="1"/>
  <c r="BU8" i="15" s="1"/>
  <c r="CC8" i="15" s="1"/>
  <c r="CK8" i="15" s="1"/>
  <c r="CS8" i="15" s="1"/>
  <c r="DA8" i="15" s="1"/>
  <c r="DI8" i="15" s="1"/>
  <c r="AA14" i="15"/>
  <c r="S14" i="15"/>
  <c r="P11" i="15"/>
  <c r="P13" i="15" s="1"/>
  <c r="R15" i="15"/>
  <c r="BI9" i="15"/>
  <c r="AA15" i="15"/>
  <c r="AA11" i="15"/>
  <c r="AA13" i="15" s="1"/>
  <c r="R11" i="15"/>
  <c r="R13" i="15" s="1"/>
  <c r="T11" i="15"/>
  <c r="T13" i="15" s="1"/>
  <c r="Q11" i="15"/>
  <c r="Q13" i="15" s="1"/>
  <c r="Q14" i="15"/>
  <c r="BI8" i="15"/>
  <c r="C27" i="6"/>
  <c r="B27" i="6"/>
  <c r="J19" i="6"/>
  <c r="K19" i="6" s="1"/>
  <c r="F19" i="6"/>
  <c r="G19" i="6" s="1"/>
  <c r="J35" i="6"/>
  <c r="K35" i="6" s="1"/>
  <c r="B19" i="6"/>
  <c r="C19" i="6" s="1"/>
  <c r="J11" i="6"/>
  <c r="K11" i="6" s="1"/>
  <c r="Z14" i="15"/>
  <c r="Z11" i="15"/>
  <c r="Z13" i="15" s="1"/>
  <c r="Z15" i="15"/>
  <c r="B11" i="6"/>
  <c r="C11" i="6" s="1"/>
  <c r="AI14" i="15"/>
  <c r="AI15" i="15"/>
  <c r="AI11" i="15"/>
  <c r="AI13" i="15" s="1"/>
  <c r="F27" i="6"/>
  <c r="G27" i="6" s="1"/>
  <c r="F11" i="6"/>
  <c r="G11" i="6" s="1"/>
  <c r="AB11" i="15"/>
  <c r="AB13" i="15" s="1"/>
  <c r="B35" i="6"/>
  <c r="C35" i="6" s="1"/>
  <c r="F35" i="6"/>
  <c r="G35" i="6" s="1"/>
  <c r="J27" i="6"/>
  <c r="K27" i="6" s="1"/>
  <c r="X11" i="15"/>
  <c r="X14" i="15"/>
  <c r="X15" i="15"/>
  <c r="AB14" i="15"/>
  <c r="AB15" i="15"/>
  <c r="M13" i="15"/>
  <c r="Y14" i="15" l="1"/>
  <c r="Y11" i="15"/>
  <c r="Y13" i="15" s="1"/>
  <c r="Y15" i="15"/>
  <c r="BY9" i="15"/>
  <c r="CW9" i="15" s="1"/>
  <c r="DE9" i="15" s="1"/>
  <c r="U11" i="15"/>
  <c r="B10" i="6" s="1"/>
  <c r="BY8" i="15"/>
  <c r="AJ15" i="15"/>
  <c r="AF15" i="15"/>
  <c r="AF11" i="15"/>
  <c r="AF14" i="15"/>
  <c r="AQ15" i="15"/>
  <c r="AQ11" i="15"/>
  <c r="AQ13" i="15" s="1"/>
  <c r="AQ14" i="15"/>
  <c r="AG11" i="15"/>
  <c r="AG13" i="15" s="1"/>
  <c r="AG14" i="15"/>
  <c r="AG15" i="15"/>
  <c r="AJ11" i="15"/>
  <c r="AJ13" i="15" s="1"/>
  <c r="AR14" i="15"/>
  <c r="AR15" i="15"/>
  <c r="AR11" i="15"/>
  <c r="AR13" i="15" s="1"/>
  <c r="AH11" i="15"/>
  <c r="AH13" i="15" s="1"/>
  <c r="AH14" i="15"/>
  <c r="AH15" i="15"/>
  <c r="AJ14" i="15"/>
  <c r="X13" i="15"/>
  <c r="AC11" i="15"/>
  <c r="U13" i="15" l="1"/>
  <c r="B12" i="6" s="1"/>
  <c r="O9" i="6" s="1"/>
  <c r="DM9" i="15"/>
  <c r="CW8" i="15"/>
  <c r="DE8" i="15" s="1"/>
  <c r="AK11" i="15"/>
  <c r="AZ15" i="15"/>
  <c r="AZ11" i="15"/>
  <c r="AZ13" i="15" s="1"/>
  <c r="AZ14" i="15"/>
  <c r="AY15" i="15"/>
  <c r="AY11" i="15"/>
  <c r="AY13" i="15" s="1"/>
  <c r="AY14" i="15"/>
  <c r="AN14" i="15"/>
  <c r="AN15" i="15"/>
  <c r="AN11" i="15"/>
  <c r="AO14" i="15"/>
  <c r="AO15" i="15"/>
  <c r="AO11" i="15"/>
  <c r="AO13" i="15" s="1"/>
  <c r="F10" i="6"/>
  <c r="G10" i="6" s="1"/>
  <c r="G12" i="6" s="1"/>
  <c r="AP15" i="15"/>
  <c r="AP11" i="15"/>
  <c r="AP13" i="15" s="1"/>
  <c r="AP14" i="15"/>
  <c r="C10" i="6"/>
  <c r="C12" i="6" s="1"/>
  <c r="AC13" i="15"/>
  <c r="AF13" i="15"/>
  <c r="DM8" i="15" l="1"/>
  <c r="BG15" i="15"/>
  <c r="BG14" i="15"/>
  <c r="BG11" i="15"/>
  <c r="BG13" i="15" s="1"/>
  <c r="BH14" i="15"/>
  <c r="BH11" i="15"/>
  <c r="BH13" i="15" s="1"/>
  <c r="BH15" i="15"/>
  <c r="AW14" i="15"/>
  <c r="AW15" i="15"/>
  <c r="AW11" i="15"/>
  <c r="AW13" i="15" s="1"/>
  <c r="F12" i="6"/>
  <c r="O10" i="6" s="1"/>
  <c r="AX14" i="15"/>
  <c r="AX15" i="15"/>
  <c r="AX11" i="15"/>
  <c r="AX13" i="15" s="1"/>
  <c r="AV14" i="15"/>
  <c r="AV11" i="15"/>
  <c r="AV15" i="15"/>
  <c r="J10" i="6"/>
  <c r="K10" i="6" s="1"/>
  <c r="K12" i="6" s="1"/>
  <c r="AK13" i="15"/>
  <c r="AN13" i="15"/>
  <c r="AS11" i="15"/>
  <c r="BD15" i="15" l="1"/>
  <c r="BD14" i="15"/>
  <c r="BD11" i="15"/>
  <c r="BF14" i="15"/>
  <c r="BF11" i="15"/>
  <c r="BF13" i="15" s="1"/>
  <c r="BF15" i="15"/>
  <c r="BE15" i="15"/>
  <c r="BE14" i="15"/>
  <c r="BE11" i="15"/>
  <c r="BE13" i="15" s="1"/>
  <c r="J12" i="6"/>
  <c r="O11" i="6" s="1"/>
  <c r="BO14" i="15"/>
  <c r="BO11" i="15"/>
  <c r="BO13" i="15" s="1"/>
  <c r="BO15" i="15"/>
  <c r="BP14" i="15"/>
  <c r="BP11" i="15"/>
  <c r="BP13" i="15" s="1"/>
  <c r="BP15" i="15"/>
  <c r="BA11" i="15"/>
  <c r="B18" i="6"/>
  <c r="C18" i="6" s="1"/>
  <c r="C20" i="6" s="1"/>
  <c r="AS13" i="15"/>
  <c r="AV13" i="15"/>
  <c r="BN15" i="15" l="1"/>
  <c r="BN11" i="15"/>
  <c r="BN13" i="15" s="1"/>
  <c r="BN14" i="15"/>
  <c r="BW14" i="15"/>
  <c r="BW15" i="15"/>
  <c r="BW11" i="15"/>
  <c r="BW13" i="15" s="1"/>
  <c r="B20" i="6"/>
  <c r="O12" i="6" s="1"/>
  <c r="F18" i="6"/>
  <c r="G18" i="6" s="1"/>
  <c r="G20" i="6" s="1"/>
  <c r="BX14" i="15"/>
  <c r="BX15" i="15"/>
  <c r="BX11" i="15"/>
  <c r="BX13" i="15" s="1"/>
  <c r="BM15" i="15"/>
  <c r="BM14" i="15"/>
  <c r="BM11" i="15"/>
  <c r="BM13" i="15" s="1"/>
  <c r="BL14" i="15"/>
  <c r="BL11" i="15"/>
  <c r="BL15" i="15"/>
  <c r="BA13" i="15"/>
  <c r="BD13" i="15"/>
  <c r="BI11" i="15"/>
  <c r="BQ11" i="15" l="1"/>
  <c r="B26" i="6" s="1"/>
  <c r="BV14" i="15"/>
  <c r="BV11" i="15"/>
  <c r="BV13" i="15" s="1"/>
  <c r="BV15" i="15"/>
  <c r="F20" i="6"/>
  <c r="O13" i="6" s="1"/>
  <c r="CF11" i="15"/>
  <c r="CF13" i="15" s="1"/>
  <c r="CF15" i="15"/>
  <c r="CF14" i="15"/>
  <c r="BU11" i="15"/>
  <c r="BU13" i="15" s="1"/>
  <c r="BU14" i="15"/>
  <c r="BU15" i="15"/>
  <c r="J18" i="6"/>
  <c r="K18" i="6" s="1"/>
  <c r="K20" i="6" s="1"/>
  <c r="CE14" i="15"/>
  <c r="CE11" i="15"/>
  <c r="CE13" i="15" s="1"/>
  <c r="CE15" i="15"/>
  <c r="BT15" i="15"/>
  <c r="BT11" i="15"/>
  <c r="BT14" i="15"/>
  <c r="BI13" i="15"/>
  <c r="BL13" i="15"/>
  <c r="CN14" i="15" l="1"/>
  <c r="CN15" i="15"/>
  <c r="CN11" i="15"/>
  <c r="CN13" i="15" s="1"/>
  <c r="CC14" i="15"/>
  <c r="CC11" i="15"/>
  <c r="CC15" i="15"/>
  <c r="CM11" i="15"/>
  <c r="CM13" i="15" s="1"/>
  <c r="CM14" i="15"/>
  <c r="CM15" i="15"/>
  <c r="CB11" i="15"/>
  <c r="CB13" i="15" s="1"/>
  <c r="CB14" i="15"/>
  <c r="CB15" i="15"/>
  <c r="CD14" i="15"/>
  <c r="CD11" i="15"/>
  <c r="CD13" i="15" s="1"/>
  <c r="CD15" i="15"/>
  <c r="J20" i="6"/>
  <c r="O14" i="6" s="1"/>
  <c r="C26" i="6"/>
  <c r="C28" i="6" s="1"/>
  <c r="BT13" i="15"/>
  <c r="BY11" i="15"/>
  <c r="BQ13" i="15"/>
  <c r="B28" i="6" l="1"/>
  <c r="O15" i="6" s="1"/>
  <c r="CU15" i="15"/>
  <c r="CU11" i="15"/>
  <c r="CU13" i="15" s="1"/>
  <c r="CU14" i="15"/>
  <c r="CV11" i="15"/>
  <c r="CV13" i="15" s="1"/>
  <c r="CV14" i="15"/>
  <c r="CV15" i="15"/>
  <c r="CK11" i="15"/>
  <c r="CK13" i="15" s="1"/>
  <c r="CK14" i="15"/>
  <c r="CK15" i="15"/>
  <c r="CL11" i="15"/>
  <c r="CL13" i="15" s="1"/>
  <c r="CL14" i="15"/>
  <c r="CL15" i="15"/>
  <c r="CJ11" i="15"/>
  <c r="CJ13" i="15" s="1"/>
  <c r="CJ15" i="15"/>
  <c r="CJ14" i="15"/>
  <c r="CC13" i="15"/>
  <c r="CG11" i="15"/>
  <c r="BY13" i="15"/>
  <c r="CR11" i="15" l="1"/>
  <c r="CR13" i="15" s="1"/>
  <c r="CR14" i="15"/>
  <c r="CR15" i="15"/>
  <c r="CG13" i="15"/>
  <c r="F26" i="6"/>
  <c r="G26" i="6" s="1"/>
  <c r="G28" i="6" s="1"/>
  <c r="CS14" i="15"/>
  <c r="CS11" i="15"/>
  <c r="CS13" i="15" s="1"/>
  <c r="CS15" i="15"/>
  <c r="CT15" i="15"/>
  <c r="CT11" i="15"/>
  <c r="CT13" i="15" s="1"/>
  <c r="CT14" i="15"/>
  <c r="CO11" i="15"/>
  <c r="CO13" i="15" s="1"/>
  <c r="DD15" i="15"/>
  <c r="DD11" i="15"/>
  <c r="DD13" i="15" s="1"/>
  <c r="DD14" i="15"/>
  <c r="DC15" i="15"/>
  <c r="DC14" i="15"/>
  <c r="DC11" i="15"/>
  <c r="DC13" i="15" s="1"/>
  <c r="CW11" i="15" l="1"/>
  <c r="J28" i="6"/>
  <c r="O17" i="6" s="1"/>
  <c r="DB14" i="15"/>
  <c r="DB15" i="15"/>
  <c r="DB11" i="15"/>
  <c r="DB13" i="15" s="1"/>
  <c r="J26" i="6"/>
  <c r="K26" i="6" s="1"/>
  <c r="K28" i="6" s="1"/>
  <c r="DL15" i="15"/>
  <c r="DL14" i="15"/>
  <c r="DL11" i="15"/>
  <c r="DL13" i="15" s="1"/>
  <c r="F28" i="6"/>
  <c r="O16" i="6" s="1"/>
  <c r="DA11" i="15"/>
  <c r="DA13" i="15" s="1"/>
  <c r="DA14" i="15"/>
  <c r="DA15" i="15"/>
  <c r="CZ11" i="15"/>
  <c r="CZ15" i="15"/>
  <c r="CZ14" i="15"/>
  <c r="DK11" i="15"/>
  <c r="DK13" i="15" s="1"/>
  <c r="DK14" i="15"/>
  <c r="DK15" i="15"/>
  <c r="DE11" i="15" l="1"/>
  <c r="B34" i="6"/>
  <c r="C34" i="6" s="1"/>
  <c r="C36" i="6" s="1"/>
  <c r="CZ13" i="15"/>
  <c r="CW13" i="15"/>
  <c r="B36" i="6" s="1"/>
  <c r="O18" i="6" s="1"/>
  <c r="DH11" i="15"/>
  <c r="DH13" i="15" s="1"/>
  <c r="DH14" i="15"/>
  <c r="DH15" i="15"/>
  <c r="DI14" i="15"/>
  <c r="DI15" i="15"/>
  <c r="DI11" i="15"/>
  <c r="DI13" i="15" s="1"/>
  <c r="DJ15" i="15"/>
  <c r="DJ11" i="15"/>
  <c r="DJ13" i="15" s="1"/>
  <c r="DJ14" i="15"/>
  <c r="DE13" i="15" l="1"/>
  <c r="F34" i="6"/>
  <c r="G34" i="6" s="1"/>
  <c r="G36" i="6" s="1"/>
  <c r="DM11" i="15"/>
  <c r="DM13" i="15" s="1"/>
  <c r="F36" i="6" l="1"/>
  <c r="O19" i="6" s="1"/>
  <c r="J36" i="6"/>
  <c r="O20" i="6" s="1"/>
  <c r="F11" i="15"/>
  <c r="J34" i="6"/>
  <c r="K34" i="6" s="1"/>
  <c r="K36" i="6" s="1"/>
  <c r="F13" i="15"/>
</calcChain>
</file>

<file path=xl/sharedStrings.xml><?xml version="1.0" encoding="utf-8"?>
<sst xmlns="http://schemas.openxmlformats.org/spreadsheetml/2006/main" count="222" uniqueCount="82">
  <si>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</si>
  <si>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</si>
  <si>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</si>
  <si>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</si>
  <si>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</si>
  <si>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</si>
  <si>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</si>
  <si>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</si>
  <si>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</si>
  <si>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</si>
  <si>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</si>
  <si>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</si>
  <si>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</si>
  <si>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</si>
  <si>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</si>
  <si>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</si>
  <si>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</si>
  <si>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</si>
  <si>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</si>
  <si>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</si>
  <si>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</si>
  <si>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</si>
  <si>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</si>
  <si>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</si>
  <si>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</si>
  <si>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</si>
  <si>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</si>
  <si>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</si>
  <si>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</si>
  <si>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</si>
  <si>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</si>
  <si>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</si>
  <si>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</si>
  <si>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</si>
  <si>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</si>
  <si>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</si>
  <si>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</si>
  <si>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</si>
  <si>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</si>
  <si>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</si>
  <si>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</si>
  <si>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</si>
  <si>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</si>
  <si>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</si>
  <si>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</si>
  <si>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</si>
  <si>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</si>
  <si>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</si>
  <si>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</si>
  <si>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</si>
  <si>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</si>
  <si>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</si>
  <si>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</si>
  <si>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</si>
  <si>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</si>
  <si>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</si>
  <si>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</si>
  <si>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</si>
  <si>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</si>
  <si>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</si>
  <si>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</si>
  <si>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</si>
  <si>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</si>
  <si>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</si>
  <si>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</si>
  <si>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</si>
  <si>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</si>
  <si>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</si>
  <si>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</si>
  <si>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</si>
  <si>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</si>
  <si>
    <t>Monat</t>
  </si>
  <si>
    <t>Diagramm im Tabblatt Total_Auslastung</t>
  </si>
  <si>
    <t>Korrektur in Kinderzahlen, Babies werden nach vollendetem 18 Lebensmonat als Kinder umgerechnet.</t>
  </si>
  <si>
    <t>Sortieren</t>
  </si>
  <si>
    <t>Ctrl + Shift + S</t>
  </si>
  <si>
    <t>Öffnet das Sortier-Fenster für die markierten Zeilen</t>
  </si>
  <si>
    <t>Neues Makro zum Sortieren / Makros entfernen und setzen wieder Passwort / Default Passwort definiert</t>
  </si>
  <si>
    <t>Alter</t>
  </si>
  <si>
    <t>Eintritt</t>
  </si>
  <si>
    <t>Austritt</t>
  </si>
  <si>
    <t>Ein- und Austritte bei Kinder, entfernt 1 nach Austritte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</si>
</sst>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201">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164" fontId="0" fillId="0" borderId="0" xfId="0" applyNumberFormat="1"/>
    <xf numFmtId="0" fontId="10" fillId="0" borderId="1" xfId="0" applyFont="1" applyBorder="1" applyProtection="1">
      <protection locked="0"/>
    </xf>
    <xf numFmtId="0" fontId="3" fillId="0" borderId="1" xfId="0" applyFont="1" applyBorder="1" applyProtection="1">
      <protection locked="0"/>
    </xf>
    <xf numFmtId="14" fontId="0" fillId="0" borderId="0" xfId="0" applyNumberFormat="1"/>
    <xf numFmtId="0" fontId="4" fillId="0" borderId="0" xfId="0" applyFont="1" applyAlignment="1">
      <alignment wrapText="1"/>
    </xf>
    <xf numFmtId="49" fontId="4" fillId="0" borderId="5" xfId="0" applyNumberFormat="1" applyFont="1" applyBorder="1" applyAlignment="1" applyProtection="1">
      <alignment horizontal="center"/>
      <protection locked="0"/>
    </xf>
    <xf numFmtId="0" fontId="9" fillId="9" borderId="5" xfId="0" applyFont="1" applyFill="1" applyBorder="1" applyAlignment="1">
      <alignment horizontal="center"/>
    </xf>
    <xf numFmtId="0" fontId="9" fillId="9" borderId="0" xfId="0" applyFont="1" applyFill="1" applyAlignment="1">
      <alignment horizontal="center"/>
    </xf>
    <xf numFmtId="0" fontId="9" fillId="9" borderId="9" xfId="0" applyFont="1" applyFill="1" applyBorder="1" applyAlignment="1">
      <alignment horizontal="center"/>
    </xf>
    <xf numFmtId="0" fontId="9" fillId="7" borderId="5" xfId="0" applyFont="1" applyFill="1" applyBorder="1" applyAlignment="1">
      <alignment horizontal="center"/>
    </xf>
    <xf numFmtId="0" fontId="9" fillId="7" borderId="0" xfId="0" applyFont="1" applyFill="1" applyAlignment="1">
      <alignment horizontal="center"/>
    </xf>
    <xf numFmtId="0" fontId="9" fillId="7" borderId="9" xfId="0" applyFont="1" applyFill="1" applyBorder="1" applyAlignment="1">
      <alignment horizontal="center"/>
    </xf>
    <xf numFmtId="14" fontId="2" fillId="6" borderId="24" xfId="0" applyNumberFormat="1" applyFont="1" applyFill="1" applyBorder="1" applyAlignment="1" applyProtection="1">
      <alignment horizontal="left"/>
      <protection locked="0"/>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696963392"/>
        <c:axId val="696958352"/>
      </c:lineChart>
      <c:catAx>
        <c:axId val="69696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58352"/>
        <c:crosses val="autoZero"/>
        <c:auto val="1"/>
        <c:lblAlgn val="ctr"/>
        <c:lblOffset val="100"/>
        <c:noMultiLvlLbl val="0"/>
      </c:catAx>
      <c:valAx>
        <c:axId val="6969583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6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6</xdr:col>
          <xdr:colOff>647700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784224</xdr:colOff>
      <xdr:row>39</xdr:row>
      <xdr:rowOff>63500</xdr:rowOff>
    </xdr:from>
    <xdr:to>
      <xdr:col>10</xdr:col>
      <xdr:colOff>698499</xdr:colOff>
      <xdr:row>59</xdr:row>
      <xdr:rowOff>12700</xdr:rowOff>
    </xdr:to>
    <xdr:graphicFrame macro="">
      <xdr:nvGraphicFramePr>
        <xdr:cNvPr id="2" name="Auslastung_Graph">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2" sqref="B2"/>
    </sheetView>
  </sheetViews>
  <sheetFormatPr baseColWidth="10" defaultRowHeight="12.5" x14ac:dyDescent="0.25"/>
  <cols>
    <col min="1" max="1" width="14.81640625" style="64" customWidth="1"/>
    <col min="2" max="2" width="11.453125" style="64"/>
    <col min="3" max="3" width="12.7265625" style="64" bestFit="1" customWidth="1"/>
    <col min="4" max="4" width="11.453125" style="64"/>
    <col min="5" max="5" width="8.54296875" customWidth="1"/>
    <col min="6" max="6" width="19.54296875" customWidth="1"/>
    <col min="9" max="9" width="24.54296875" customWidth="1"/>
    <col min="10" max="10" width="16.453125" customWidth="1"/>
    <col min="11" max="11" width="54.7265625" customWidth="1"/>
    <col min="12" max="12" width="4.81640625" customWidth="1"/>
    <col min="14" max="14" width="51.81640625" customWidth="1"/>
  </cols>
  <sheetData>
    <row r="1" spans="1:14" x14ac:dyDescent="0.25">
      <c r="A1"/>
      <c r="B1"/>
      <c r="C1"/>
      <c r="D1"/>
    </row>
    <row r="2" spans="1:14" x14ac:dyDescent="0.25">
      <c r="A2" t="s">
        <v>34</v>
      </c>
      <c r="B2" s="178"/>
      <c r="C2" s="3"/>
      <c r="D2"/>
    </row>
    <row r="3" spans="1:14" x14ac:dyDescent="0.25">
      <c r="A3" t="s">
        <v>36</v>
      </c>
      <c r="B3" s="179"/>
      <c r="C3"/>
      <c r="D3"/>
    </row>
    <row r="4" spans="1:14" x14ac:dyDescent="0.25">
      <c r="A4" s="3" t="s">
        <v>55</v>
      </c>
      <c r="B4" s="178"/>
      <c r="C4"/>
      <c r="D4"/>
    </row>
    <row r="5" spans="1:14" x14ac:dyDescent="0.25">
      <c r="A5"/>
      <c r="B5"/>
      <c r="C5"/>
      <c r="D5"/>
    </row>
    <row r="6" spans="1:14" ht="13" x14ac:dyDescent="0.3">
      <c r="A6" s="138" t="s">
        <v>38</v>
      </c>
      <c r="B6" s="138" t="s">
        <v>39</v>
      </c>
      <c r="C6" s="138" t="s">
        <v>37</v>
      </c>
      <c r="D6" s="138" t="s">
        <v>35</v>
      </c>
    </row>
    <row r="7" spans="1:14" x14ac:dyDescent="0.25">
      <c r="A7" s="172"/>
      <c r="B7" s="173"/>
      <c r="C7" s="173"/>
      <c r="D7" s="181"/>
      <c r="N7" s="170"/>
    </row>
    <row r="8" spans="1:14" x14ac:dyDescent="0.25">
      <c r="A8" s="172"/>
      <c r="B8" s="173"/>
      <c r="C8" s="173"/>
      <c r="D8" s="181"/>
      <c r="N8" s="170"/>
    </row>
    <row r="9" spans="1:14" ht="13" x14ac:dyDescent="0.3">
      <c r="A9" s="172"/>
      <c r="B9" s="173"/>
      <c r="C9" s="173"/>
      <c r="D9" s="182"/>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M20" s="183">
        <v>45396</v>
      </c>
      <c r="N20" s="184" t="s">
        <v>72</v>
      </c>
    </row>
    <row r="21" spans="9:14" ht="50" x14ac:dyDescent="0.25">
      <c r="I21" s="174" t="s">
        <v>60</v>
      </c>
      <c r="J21" s="175" t="s">
        <v>63</v>
      </c>
      <c r="K21" s="176" t="s">
        <v>67</v>
      </c>
      <c r="M21" s="183">
        <v>45402</v>
      </c>
      <c r="N21" s="184" t="s">
        <v>73</v>
      </c>
    </row>
    <row r="22" spans="9:14" ht="25" x14ac:dyDescent="0.25">
      <c r="I22" s="174" t="s">
        <v>61</v>
      </c>
      <c r="J22" s="175" t="s">
        <v>64</v>
      </c>
      <c r="K22" s="176" t="s">
        <v>68</v>
      </c>
      <c r="M22" s="183">
        <v>45443</v>
      </c>
      <c r="N22" s="184" t="s">
        <v>77</v>
      </c>
    </row>
    <row r="23" spans="9:14" x14ac:dyDescent="0.25">
      <c r="I23" s="174" t="s">
        <v>74</v>
      </c>
      <c r="J23" s="175" t="s">
        <v>75</v>
      </c>
      <c r="K23" s="176" t="s">
        <v>76</v>
      </c>
      <c r="M23" s="183">
        <v>45566</v>
      </c>
      <c r="N23" s="184" t="s">
        <v>81</v>
      </c>
    </row>
    <row r="24" spans="9:14" x14ac:dyDescent="0.25">
      <c r="N24" s="170"/>
    </row>
  </sheetData>
  <sheetProtection algorithmName="SHA-512" hashValue="UHvHe2twYWxROQLAY+N4d3xXGhiOLfrXGfeMfct5jcihjY3/zH+wUuSljncx3HZ8QHt1KURQiKdUGTvIKUD5mA==" saltValue="PDQYYpVd8Cq2P3B1DzXD9w==" spinCount="100000" sheet="1" formatCells="0" formatColumns="0" formatRows="0" insertRows="0" insertHyperlinks="0" selectLockedCells="1"/>
  <dataValidations count="1">
    <dataValidation allowBlank="1" showInputMessage="1" showErrorMessage="1" promptTitle="Anzahl Kinder" prompt="Definiert die Anzahl an Zeilen, welche zu Beginn erstellt werden." sqref="C6:C40" xr:uid="{ADBE620A-DF72-4D03-9C75-CE0502BCCE2F}"/>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6</xdr:col>
                    <xdr:colOff>647700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Q36"/>
  <sheetViews>
    <sheetView workbookViewId="0">
      <selection activeCell="C9" sqref="C9"/>
    </sheetView>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7" ht="13" x14ac:dyDescent="0.3">
      <c r="A2" s="19" t="s">
        <v>32</v>
      </c>
      <c r="C2" s="19"/>
      <c r="G2" s="19"/>
    </row>
    <row r="4" spans="1:17" x14ac:dyDescent="0.25">
      <c r="A4" s="64"/>
      <c r="C4" s="64"/>
      <c r="G4" s="64"/>
    </row>
    <row r="6" spans="1:17" ht="13" x14ac:dyDescent="0.3">
      <c r="A6" s="20" t="str">
        <f>"Januar " &amp; $A$4</f>
        <v xml:space="preserve">Januar </v>
      </c>
      <c r="B6" s="20"/>
      <c r="C6" s="20"/>
      <c r="E6" s="20" t="s">
        <v>48</v>
      </c>
      <c r="F6" s="20"/>
      <c r="G6" s="20"/>
      <c r="I6" s="20" t="s">
        <v>49</v>
      </c>
      <c r="J6" s="20"/>
      <c r="K6" s="20"/>
    </row>
    <row r="7" spans="1:17" ht="9" customHeight="1" x14ac:dyDescent="0.25">
      <c r="N7" s="3" t="s">
        <v>71</v>
      </c>
      <c r="O7" s="3">
        <f>B9</f>
        <v>0</v>
      </c>
      <c r="P7" s="3"/>
      <c r="Q7" s="3"/>
    </row>
    <row r="8" spans="1:17" hidden="1" x14ac:dyDescent="0.25"/>
    <row r="9" spans="1:17" ht="13" x14ac:dyDescent="0.3">
      <c r="A9" s="1"/>
      <c r="B9" s="1"/>
      <c r="C9" s="1" t="s">
        <v>7</v>
      </c>
      <c r="E9" s="1"/>
      <c r="F9" s="1"/>
      <c r="G9" s="1" t="s">
        <v>7</v>
      </c>
      <c r="I9" s="1"/>
      <c r="J9" s="1"/>
      <c r="K9" s="1" t="s">
        <v>7</v>
      </c>
      <c r="N9" t="str">
        <f>A6</f>
        <v xml:space="preserve">Januar </v>
      </c>
      <c r="O9" s="180" t="e">
        <f>B12</f>
        <v>#DIV/0!</v>
      </c>
      <c r="P9" s="180"/>
      <c r="Q9" s="180"/>
    </row>
    <row r="10" spans="1:17" ht="13" x14ac:dyDescent="0.3">
      <c r="A10" s="1" t="s">
        <v>11</v>
      </c>
      <c r="B10" s="2">
        <f>Vorlage_Gruppen!$U$11</f>
        <v>0</v>
      </c>
      <c r="C10" s="2">
        <f>SUM(B10:B10)</f>
        <v>0</v>
      </c>
      <c r="E10" s="1" t="s">
        <v>11</v>
      </c>
      <c r="F10" s="2">
        <f>Vorlage_Gruppen!$AC$11</f>
        <v>0</v>
      </c>
      <c r="G10" s="2">
        <f>SUM(F10:F10)</f>
        <v>0</v>
      </c>
      <c r="I10" s="1" t="s">
        <v>11</v>
      </c>
      <c r="J10" s="2">
        <f>Vorlage_Gruppen!$AK$11</f>
        <v>0</v>
      </c>
      <c r="K10" s="2">
        <f>SUM(J10:J10)</f>
        <v>0</v>
      </c>
      <c r="N10" t="str">
        <f>E6</f>
        <v>Februar</v>
      </c>
      <c r="O10" s="180" t="e">
        <f>F12</f>
        <v>#DIV/0!</v>
      </c>
      <c r="P10" s="180"/>
      <c r="Q10" s="180"/>
    </row>
    <row r="11" spans="1:17" ht="13" x14ac:dyDescent="0.3">
      <c r="A11" s="1" t="s">
        <v>10</v>
      </c>
      <c r="B11" s="2">
        <f>Vorlage_Gruppen!$U$12</f>
        <v>0</v>
      </c>
      <c r="C11" s="2">
        <f>SUM(B11:B11)</f>
        <v>0</v>
      </c>
      <c r="E11" s="1" t="s">
        <v>10</v>
      </c>
      <c r="F11" s="2">
        <f>Vorlage_Gruppen!$AC$12</f>
        <v>0</v>
      </c>
      <c r="G11" s="2">
        <f>SUM(F11:F11)</f>
        <v>0</v>
      </c>
      <c r="I11" s="1" t="s">
        <v>10</v>
      </c>
      <c r="J11" s="2">
        <f>Vorlage_Gruppen!$AK$12</f>
        <v>0</v>
      </c>
      <c r="K11" s="2">
        <f>SUM(J11:J11)</f>
        <v>0</v>
      </c>
      <c r="N11" t="str">
        <f>I6</f>
        <v>März</v>
      </c>
      <c r="O11" s="180" t="e">
        <f>J12</f>
        <v>#DIV/0!</v>
      </c>
      <c r="P11" s="180"/>
      <c r="Q11" s="180"/>
    </row>
    <row r="12" spans="1:17" ht="13" x14ac:dyDescent="0.3">
      <c r="A12" s="1" t="s">
        <v>12</v>
      </c>
      <c r="B12" s="2" t="e">
        <f>Vorlage_Gruppen!$U$13</f>
        <v>#DIV/0!</v>
      </c>
      <c r="C12" s="25" t="e">
        <f>(C10*100)/C11</f>
        <v>#DIV/0!</v>
      </c>
      <c r="E12" s="1" t="s">
        <v>12</v>
      </c>
      <c r="F12" s="2" t="e">
        <f>Vorlage_Gruppen!$AC$13</f>
        <v>#DIV/0!</v>
      </c>
      <c r="G12" s="25" t="e">
        <f>(G10*100)/G11</f>
        <v>#DIV/0!</v>
      </c>
      <c r="I12" s="1" t="s">
        <v>12</v>
      </c>
      <c r="J12" s="2" t="e">
        <f>Vorlage_Gruppen!$AK$13</f>
        <v>#DIV/0!</v>
      </c>
      <c r="K12" s="25" t="e">
        <f>(K10*100)/K11</f>
        <v>#DIV/0!</v>
      </c>
      <c r="N12" t="str">
        <f>A15</f>
        <v xml:space="preserve">April </v>
      </c>
      <c r="O12" s="180" t="e">
        <f>B20</f>
        <v>#DIV/0!</v>
      </c>
      <c r="P12" s="180"/>
      <c r="Q12" s="180"/>
    </row>
    <row r="13" spans="1:17" x14ac:dyDescent="0.25">
      <c r="N13" t="str">
        <f>E15</f>
        <v>Mai</v>
      </c>
      <c r="O13" s="180" t="e">
        <f>F20</f>
        <v>#DIV/0!</v>
      </c>
      <c r="P13" s="180"/>
      <c r="Q13" s="180"/>
    </row>
    <row r="14" spans="1:17" x14ac:dyDescent="0.25">
      <c r="N14" t="str">
        <f>I15</f>
        <v>Juni</v>
      </c>
      <c r="O14" s="180" t="e">
        <f>J20</f>
        <v>#DIV/0!</v>
      </c>
      <c r="P14" s="180"/>
      <c r="Q14" s="180"/>
    </row>
    <row r="15" spans="1:17" ht="13" x14ac:dyDescent="0.3">
      <c r="A15" s="20" t="str">
        <f>"April " &amp; $A$4</f>
        <v xml:space="preserve">April </v>
      </c>
      <c r="B15" s="21"/>
      <c r="C15" s="21"/>
      <c r="E15" s="20" t="s">
        <v>25</v>
      </c>
      <c r="F15" s="21"/>
      <c r="G15" s="21"/>
      <c r="I15" s="20" t="s">
        <v>26</v>
      </c>
      <c r="J15" s="21"/>
      <c r="K15" s="21"/>
      <c r="N15" t="str">
        <f>A23</f>
        <v xml:space="preserve">Juli </v>
      </c>
      <c r="O15" s="180" t="e">
        <f>B28</f>
        <v>#DIV/0!</v>
      </c>
      <c r="P15" s="180"/>
      <c r="Q15" s="180"/>
    </row>
    <row r="16" spans="1:17" x14ac:dyDescent="0.25">
      <c r="N16" t="str">
        <f>E23</f>
        <v>August</v>
      </c>
      <c r="O16" s="180" t="e">
        <f>F28</f>
        <v>#DIV/0!</v>
      </c>
      <c r="P16" s="180"/>
      <c r="Q16" s="180"/>
    </row>
    <row r="17" spans="1:17" ht="13" x14ac:dyDescent="0.3">
      <c r="A17" s="1"/>
      <c r="B17" s="1"/>
      <c r="C17" s="1" t="s">
        <v>7</v>
      </c>
      <c r="E17" s="1"/>
      <c r="F17" s="1"/>
      <c r="G17" s="1" t="s">
        <v>7</v>
      </c>
      <c r="I17" s="1"/>
      <c r="J17" s="1"/>
      <c r="K17" s="1" t="s">
        <v>7</v>
      </c>
      <c r="N17" t="str">
        <f>I23</f>
        <v>September</v>
      </c>
      <c r="O17" s="180" t="e">
        <f>J28</f>
        <v>#DIV/0!</v>
      </c>
      <c r="P17" s="180"/>
      <c r="Q17" s="180"/>
    </row>
    <row r="18" spans="1:17" ht="13" x14ac:dyDescent="0.3">
      <c r="A18" s="1" t="s">
        <v>11</v>
      </c>
      <c r="B18" s="2">
        <f>Vorlage_Gruppen!$AS$11</f>
        <v>0</v>
      </c>
      <c r="C18" s="2">
        <f>SUM(B18:B18)</f>
        <v>0</v>
      </c>
      <c r="E18" s="1" t="s">
        <v>11</v>
      </c>
      <c r="F18" s="2">
        <f>Vorlage_Gruppen!$BA$11</f>
        <v>0</v>
      </c>
      <c r="G18" s="2">
        <f>SUM(F18:F18)</f>
        <v>0</v>
      </c>
      <c r="I18" s="1" t="s">
        <v>11</v>
      </c>
      <c r="J18" s="2">
        <f>Vorlage_Gruppen!$BI$11</f>
        <v>0</v>
      </c>
      <c r="K18" s="2">
        <f>SUM(J18:J18)</f>
        <v>0</v>
      </c>
      <c r="N18" t="str">
        <f>A31</f>
        <v xml:space="preserve">Oktober </v>
      </c>
      <c r="O18" s="180" t="e">
        <f>B36</f>
        <v>#DIV/0!</v>
      </c>
      <c r="P18" s="180"/>
      <c r="Q18" s="180"/>
    </row>
    <row r="19" spans="1:17" ht="13" x14ac:dyDescent="0.3">
      <c r="A19" s="1" t="s">
        <v>10</v>
      </c>
      <c r="B19" s="2">
        <f>Vorlage_Gruppen!$AS$12</f>
        <v>0</v>
      </c>
      <c r="C19" s="2">
        <f>SUM(B19:B19)</f>
        <v>0</v>
      </c>
      <c r="E19" s="1" t="s">
        <v>10</v>
      </c>
      <c r="F19" s="2">
        <f>Vorlage_Gruppen!$BA$12</f>
        <v>0</v>
      </c>
      <c r="G19" s="2">
        <f>SUM(F19:F19)</f>
        <v>0</v>
      </c>
      <c r="I19" s="1" t="s">
        <v>10</v>
      </c>
      <c r="J19" s="2">
        <f>Vorlage_Gruppen!$BI$12</f>
        <v>0</v>
      </c>
      <c r="K19" s="2">
        <f>SUM(J19:J19)</f>
        <v>0</v>
      </c>
      <c r="N19" t="str">
        <f>E31</f>
        <v>November</v>
      </c>
      <c r="O19" s="180" t="e">
        <f>F36</f>
        <v>#DIV/0!</v>
      </c>
      <c r="P19" s="180"/>
      <c r="Q19" s="180"/>
    </row>
    <row r="20" spans="1:17" ht="13" x14ac:dyDescent="0.3">
      <c r="A20" s="1" t="s">
        <v>12</v>
      </c>
      <c r="B20" s="2" t="e">
        <f>Vorlage_Gruppen!$AS$13</f>
        <v>#DIV/0!</v>
      </c>
      <c r="C20" s="25" t="e">
        <f>(C18*100)/C19</f>
        <v>#DIV/0!</v>
      </c>
      <c r="E20" s="1" t="s">
        <v>12</v>
      </c>
      <c r="F20" s="2" t="e">
        <f>Vorlage_Gruppen!$BA$13</f>
        <v>#DIV/0!</v>
      </c>
      <c r="G20" s="25" t="e">
        <f>(G18*100)/G19</f>
        <v>#DIV/0!</v>
      </c>
      <c r="I20" s="1" t="s">
        <v>12</v>
      </c>
      <c r="J20" s="2" t="e">
        <f>Vorlage_Gruppen!$BI$13</f>
        <v>#DIV/0!</v>
      </c>
      <c r="K20" s="25" t="e">
        <f>(K18*100)/K19</f>
        <v>#DIV/0!</v>
      </c>
      <c r="N20" t="str">
        <f>I31</f>
        <v>Dezember</v>
      </c>
      <c r="O20" s="180" t="e">
        <f>J36</f>
        <v>#DIV/0!</v>
      </c>
      <c r="P20" s="180"/>
      <c r="Q20" s="180"/>
    </row>
    <row r="23" spans="1:17" ht="13" x14ac:dyDescent="0.3">
      <c r="A23" s="20" t="str">
        <f>"Juli " &amp; $A$4</f>
        <v xml:space="preserve">Juli </v>
      </c>
      <c r="B23" s="21"/>
      <c r="C23" s="21"/>
      <c r="E23" s="20" t="s">
        <v>28</v>
      </c>
      <c r="F23" s="21"/>
      <c r="G23" s="21"/>
      <c r="I23" s="20" t="s">
        <v>50</v>
      </c>
      <c r="J23" s="21"/>
      <c r="K23" s="21"/>
    </row>
    <row r="25" spans="1:17" ht="13" x14ac:dyDescent="0.3">
      <c r="A25" s="1"/>
      <c r="B25" s="1"/>
      <c r="C25" s="1" t="s">
        <v>7</v>
      </c>
      <c r="E25" s="1"/>
      <c r="F25" s="1"/>
      <c r="G25" s="1" t="s">
        <v>7</v>
      </c>
      <c r="I25" s="1"/>
      <c r="J25" s="1"/>
      <c r="K25" s="1" t="s">
        <v>7</v>
      </c>
    </row>
    <row r="26" spans="1:17" ht="13" x14ac:dyDescent="0.3">
      <c r="A26" s="1" t="s">
        <v>11</v>
      </c>
      <c r="B26" s="2">
        <f>Vorlage_Gruppen!$BQ$11</f>
        <v>0</v>
      </c>
      <c r="C26" s="2">
        <f>SUM(B26:B26)</f>
        <v>0</v>
      </c>
      <c r="E26" s="1" t="s">
        <v>11</v>
      </c>
      <c r="F26" s="2">
        <f>Vorlage_Gruppen!$CG$11</f>
        <v>0</v>
      </c>
      <c r="G26" s="2">
        <f>SUM(F26:F26)</f>
        <v>0</v>
      </c>
      <c r="I26" s="1" t="s">
        <v>11</v>
      </c>
      <c r="J26" s="2">
        <f>Vorlage_Gruppen!$CO$11</f>
        <v>0</v>
      </c>
      <c r="K26" s="2">
        <f>SUM(J26:J26)</f>
        <v>0</v>
      </c>
    </row>
    <row r="27" spans="1:17" ht="13" x14ac:dyDescent="0.3">
      <c r="A27" s="1" t="s">
        <v>10</v>
      </c>
      <c r="B27" s="2">
        <f>Vorlage_Gruppen!$BQ$12</f>
        <v>0</v>
      </c>
      <c r="C27" s="2">
        <f>SUM(B27:B27)</f>
        <v>0</v>
      </c>
      <c r="E27" s="1" t="s">
        <v>10</v>
      </c>
      <c r="F27" s="2">
        <f>Vorlage_Gruppen!$CG$12</f>
        <v>0</v>
      </c>
      <c r="G27" s="2">
        <f>SUM(F27:F27)</f>
        <v>0</v>
      </c>
      <c r="I27" s="1" t="s">
        <v>10</v>
      </c>
      <c r="J27" s="2">
        <f>Vorlage_Gruppen!$CO$12</f>
        <v>0</v>
      </c>
      <c r="K27" s="2">
        <f>SUM(J27:J27)</f>
        <v>0</v>
      </c>
    </row>
    <row r="28" spans="1:17" ht="13" x14ac:dyDescent="0.3">
      <c r="A28" s="1" t="s">
        <v>12</v>
      </c>
      <c r="B28" s="2" t="e">
        <f>Vorlage_Gruppen!$BQ$13</f>
        <v>#DIV/0!</v>
      </c>
      <c r="C28" s="25" t="e">
        <f>(C26*100)/C27</f>
        <v>#DIV/0!</v>
      </c>
      <c r="E28" s="1" t="s">
        <v>12</v>
      </c>
      <c r="F28" s="2" t="e">
        <f>Vorlage_Gruppen!$CG$13</f>
        <v>#DIV/0!</v>
      </c>
      <c r="G28" s="25" t="e">
        <f>(G26*100)/G27</f>
        <v>#DIV/0!</v>
      </c>
      <c r="I28" s="1" t="s">
        <v>12</v>
      </c>
      <c r="J28" s="2" t="e">
        <f>Vorlage_Gruppen!$CO$13</f>
        <v>#DIV/0!</v>
      </c>
      <c r="K28" s="25" t="e">
        <f>(K26*100)/K27</f>
        <v>#DIV/0!</v>
      </c>
    </row>
    <row r="31" spans="1:17"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Vorlage_Gruppen!$CW$11</f>
        <v>0</v>
      </c>
      <c r="C34" s="2">
        <f>SUM(B34:B34)</f>
        <v>0</v>
      </c>
      <c r="E34" s="1" t="s">
        <v>11</v>
      </c>
      <c r="F34" s="2">
        <f>Vorlage_Gruppen!$DE$11</f>
        <v>0</v>
      </c>
      <c r="G34" s="2">
        <f>SUM(F34:F34)</f>
        <v>0</v>
      </c>
      <c r="I34" s="1" t="s">
        <v>11</v>
      </c>
      <c r="J34" s="2">
        <f>Vorlage_Gruppen!$DM$11</f>
        <v>0</v>
      </c>
      <c r="K34" s="2">
        <f>SUM(J34:J34)</f>
        <v>0</v>
      </c>
    </row>
    <row r="35" spans="1:11" ht="13" x14ac:dyDescent="0.3">
      <c r="A35" s="1" t="s">
        <v>10</v>
      </c>
      <c r="B35" s="2">
        <f>Vorlage_Gruppen!$CW$12</f>
        <v>0</v>
      </c>
      <c r="C35" s="2">
        <f>SUM(B35:B35)</f>
        <v>0</v>
      </c>
      <c r="E35" s="1" t="s">
        <v>10</v>
      </c>
      <c r="F35" s="2">
        <f>Vorlage_Gruppen!$DE$12</f>
        <v>0</v>
      </c>
      <c r="G35" s="2">
        <f>SUM(F35:F35)</f>
        <v>0</v>
      </c>
      <c r="I35" s="1" t="s">
        <v>10</v>
      </c>
      <c r="J35" s="2">
        <f>Vorlage_Gruppen!$DM$12</f>
        <v>0</v>
      </c>
      <c r="K35" s="2">
        <f>SUM(J35:J35)</f>
        <v>0</v>
      </c>
    </row>
    <row r="36" spans="1:11" ht="13" x14ac:dyDescent="0.3">
      <c r="A36" s="1" t="s">
        <v>12</v>
      </c>
      <c r="B36" s="2" t="e">
        <f>Vorlage_Gruppen!$CW$13</f>
        <v>#DIV/0!</v>
      </c>
      <c r="C36" s="25" t="e">
        <f>(C34*100)/C35</f>
        <v>#DIV/0!</v>
      </c>
      <c r="E36" s="1" t="s">
        <v>12</v>
      </c>
      <c r="F36" s="2" t="e">
        <f>Vorlage_Gruppen!$DE$13</f>
        <v>#DIV/0!</v>
      </c>
      <c r="G36" s="25" t="e">
        <f>(G34*100)/G35</f>
        <v>#DIV/0!</v>
      </c>
      <c r="I36" s="1" t="s">
        <v>12</v>
      </c>
      <c r="J36" s="2" t="e">
        <f>Vorlage_Gruppen!$DM$13</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O16"/>
  <sheetViews>
    <sheetView workbookViewId="0">
      <pane xSplit="6" ySplit="7" topLeftCell="BG8" activePane="bottomRight" state="frozen"/>
      <selection pane="topRight" activeCell="E1" sqref="E1"/>
      <selection pane="bottomLeft" activeCell="A7" sqref="A7"/>
      <selection pane="bottomRight" activeCell="F12" sqref="F12"/>
    </sheetView>
  </sheetViews>
  <sheetFormatPr baseColWidth="10" defaultColWidth="10.81640625" defaultRowHeight="12.5" x14ac:dyDescent="0.25"/>
  <cols>
    <col min="1" max="1" width="24.26953125" style="64" customWidth="1"/>
    <col min="2" max="2" width="7" style="64" customWidth="1"/>
    <col min="3" max="5" width="8.453125" style="64" customWidth="1"/>
    <col min="6" max="6" width="6.26953125" style="64" customWidth="1"/>
    <col min="7" max="7" width="3.54296875" style="64" customWidth="1"/>
    <col min="8" max="13" width="5.453125" style="64" customWidth="1"/>
    <col min="14" max="14" width="16" style="64" customWidth="1"/>
    <col min="15" max="15" width="5.453125" style="64" customWidth="1" collapsed="1"/>
    <col min="16" max="21" width="5.453125" style="64" customWidth="1"/>
    <col min="22" max="22" width="16" style="64" customWidth="1"/>
    <col min="23" max="23" width="5.453125" style="64" customWidth="1"/>
    <col min="24" max="29" width="5.1796875" style="64" customWidth="1"/>
    <col min="30" max="30" width="16" style="64" customWidth="1"/>
    <col min="31" max="31" width="5.453125" style="64" customWidth="1"/>
    <col min="32" max="37" width="5.1796875" style="64" customWidth="1"/>
    <col min="38" max="38" width="16" style="64" customWidth="1"/>
    <col min="39" max="39" width="5.453125" style="64" customWidth="1"/>
    <col min="40" max="45" width="5.1796875" style="64" customWidth="1"/>
    <col min="46" max="46" width="16" style="64" customWidth="1"/>
    <col min="47" max="47" width="5.453125" style="64" customWidth="1"/>
    <col min="48" max="53" width="5.1796875" style="64" customWidth="1"/>
    <col min="54" max="54" width="16" style="64" customWidth="1"/>
    <col min="55" max="55" width="5.453125" style="64" customWidth="1"/>
    <col min="56" max="61" width="5.1796875" style="64" customWidth="1"/>
    <col min="62" max="62" width="16" style="64" customWidth="1"/>
    <col min="63" max="63" width="5.453125" style="64" customWidth="1"/>
    <col min="64" max="69" width="5.1796875" style="64" customWidth="1"/>
    <col min="70" max="70" width="16" style="64" customWidth="1"/>
    <col min="71" max="71" width="5.453125" style="64" customWidth="1"/>
    <col min="72" max="77" width="5.1796875" style="64" customWidth="1"/>
    <col min="78" max="78" width="16" style="64" customWidth="1"/>
    <col min="79" max="79" width="5.453125" style="64" customWidth="1"/>
    <col min="80" max="85" width="5.1796875" style="64" customWidth="1"/>
    <col min="86" max="86" width="16" style="64" customWidth="1"/>
    <col min="87" max="87" width="5.453125" style="64" customWidth="1"/>
    <col min="88" max="93" width="5.1796875" style="64" customWidth="1"/>
    <col min="94" max="94" width="16" style="64" customWidth="1"/>
    <col min="95" max="95" width="5.453125" style="64" customWidth="1"/>
    <col min="96" max="101" width="5.1796875" style="64" customWidth="1"/>
    <col min="102" max="102" width="16" style="64" customWidth="1"/>
    <col min="103" max="109" width="5.453125" style="64" customWidth="1"/>
    <col min="110" max="110" width="16" style="64" customWidth="1"/>
    <col min="111" max="117" width="5.453125" style="64" customWidth="1"/>
    <col min="118" max="118" width="16" style="64" customWidth="1"/>
    <col min="119" max="119" width="5.453125" style="64" customWidth="1"/>
    <col min="120" max="16384" width="10.81640625" style="64"/>
  </cols>
  <sheetData>
    <row r="1" spans="1:119" ht="17.5" x14ac:dyDescent="0.35">
      <c r="A1" s="66" t="s">
        <v>33</v>
      </c>
      <c r="B1" s="67"/>
      <c r="C1" s="67"/>
      <c r="D1" s="67"/>
      <c r="E1" s="67"/>
      <c r="F1" s="66"/>
      <c r="G1" s="66"/>
      <c r="H1" s="67"/>
      <c r="I1" s="67"/>
      <c r="J1" s="65"/>
      <c r="K1" s="65"/>
      <c r="L1" s="65"/>
      <c r="M1" s="65"/>
      <c r="N1" s="65"/>
      <c r="O1" s="65"/>
      <c r="P1" s="67"/>
      <c r="Q1" s="67"/>
      <c r="R1" s="65"/>
      <c r="S1" s="65"/>
      <c r="T1" s="65"/>
      <c r="U1" s="65"/>
      <c r="V1" s="65"/>
      <c r="W1" s="65"/>
      <c r="X1" s="67"/>
      <c r="Y1" s="67"/>
      <c r="Z1" s="65"/>
      <c r="AA1" s="65"/>
      <c r="AB1" s="65"/>
      <c r="AC1" s="65"/>
      <c r="AD1" s="65"/>
      <c r="AE1" s="65"/>
      <c r="AF1" s="67"/>
      <c r="AG1" s="67"/>
      <c r="AH1" s="65"/>
      <c r="AI1" s="65"/>
      <c r="AJ1" s="65"/>
      <c r="AK1" s="65"/>
      <c r="AL1" s="65"/>
      <c r="AM1" s="65"/>
      <c r="AN1" s="67"/>
      <c r="AO1" s="67"/>
      <c r="AP1" s="65"/>
      <c r="AQ1" s="65"/>
      <c r="AR1" s="65"/>
      <c r="AS1" s="65"/>
      <c r="AT1" s="65"/>
      <c r="AU1" s="65"/>
      <c r="AV1" s="67"/>
      <c r="AW1" s="67"/>
      <c r="AX1" s="65"/>
      <c r="AY1" s="65"/>
      <c r="AZ1" s="65"/>
      <c r="BA1" s="65"/>
      <c r="BB1" s="65"/>
      <c r="BC1" s="65"/>
      <c r="BD1" s="67"/>
      <c r="BE1" s="67"/>
      <c r="BF1" s="65"/>
      <c r="BG1" s="65"/>
      <c r="BH1" s="65"/>
      <c r="BI1" s="65"/>
      <c r="BJ1" s="65"/>
      <c r="BK1" s="65"/>
      <c r="BL1" s="67"/>
      <c r="BM1" s="67"/>
      <c r="BN1" s="65"/>
      <c r="BO1" s="65"/>
      <c r="BP1" s="65"/>
      <c r="BQ1" s="65"/>
      <c r="BR1" s="65"/>
      <c r="BS1" s="65"/>
      <c r="BT1" s="67"/>
      <c r="BU1" s="67"/>
      <c r="BV1" s="65"/>
      <c r="BW1" s="65"/>
      <c r="BX1" s="65"/>
      <c r="BY1" s="65"/>
      <c r="BZ1" s="65"/>
      <c r="CA1" s="65"/>
      <c r="CB1" s="67"/>
      <c r="CC1" s="67"/>
      <c r="CD1" s="65"/>
      <c r="CE1" s="65"/>
      <c r="CF1" s="65"/>
      <c r="CG1" s="65"/>
      <c r="CH1" s="65"/>
      <c r="CI1" s="65"/>
      <c r="CJ1" s="67"/>
      <c r="CK1" s="67"/>
      <c r="CL1" s="65"/>
      <c r="CM1" s="65"/>
      <c r="CN1" s="65"/>
      <c r="CO1" s="65"/>
      <c r="CP1" s="65"/>
      <c r="CQ1" s="65"/>
      <c r="CR1" s="67"/>
      <c r="CS1" s="67"/>
      <c r="CT1" s="65"/>
      <c r="CU1" s="65"/>
      <c r="CV1" s="65"/>
      <c r="CW1" s="65"/>
      <c r="CX1" s="65"/>
      <c r="CY1" s="65"/>
      <c r="CZ1" s="67"/>
      <c r="DA1" s="67"/>
      <c r="DB1" s="65"/>
      <c r="DC1" s="65"/>
      <c r="DD1" s="65"/>
      <c r="DE1" s="65"/>
      <c r="DF1" s="65"/>
      <c r="DG1" s="65"/>
      <c r="DH1" s="67"/>
      <c r="DI1" s="67"/>
      <c r="DJ1" s="65"/>
      <c r="DK1" s="65"/>
      <c r="DL1" s="65"/>
      <c r="DM1" s="65"/>
      <c r="DN1" s="65"/>
      <c r="DO1" s="65"/>
    </row>
    <row r="2" spans="1:119"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c r="DN2" s="65"/>
      <c r="DO2" s="65"/>
    </row>
    <row r="3" spans="1:119"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row>
    <row r="4" spans="1:119" ht="13" x14ac:dyDescent="0.3">
      <c r="A4" s="68"/>
      <c r="B4" s="69"/>
      <c r="C4" s="69"/>
      <c r="D4" s="69"/>
      <c r="E4" s="69"/>
      <c r="F4" s="70"/>
      <c r="G4" s="65"/>
      <c r="H4" s="193" t="str">
        <f>IF(A3&lt;&gt;"","Dezember " &amp;A3- 1,"")</f>
        <v>Dezember -1</v>
      </c>
      <c r="I4" s="194"/>
      <c r="J4" s="194"/>
      <c r="K4" s="194"/>
      <c r="L4" s="194"/>
      <c r="M4" s="194"/>
      <c r="N4" s="195"/>
      <c r="O4" s="3"/>
      <c r="P4" s="196" t="str">
        <f>IF(A3&lt;&gt;"","Januar " &amp;A3,"")</f>
        <v>Januar 0</v>
      </c>
      <c r="Q4" s="197"/>
      <c r="R4" s="197"/>
      <c r="S4" s="197"/>
      <c r="T4" s="197"/>
      <c r="U4" s="197"/>
      <c r="V4" s="198"/>
      <c r="W4" s="3"/>
      <c r="X4" s="193" t="str">
        <f>IF(A3&lt;&gt;"","Februar " &amp;A3,"")</f>
        <v>Februar 0</v>
      </c>
      <c r="Y4" s="194"/>
      <c r="Z4" s="194"/>
      <c r="AA4" s="194"/>
      <c r="AB4" s="194"/>
      <c r="AC4" s="194"/>
      <c r="AD4" s="195"/>
      <c r="AE4" s="3"/>
      <c r="AF4" s="196" t="str">
        <f>IF(A3&lt;&gt;"","März " &amp;A3,"")</f>
        <v>März 0</v>
      </c>
      <c r="AG4" s="197"/>
      <c r="AH4" s="197"/>
      <c r="AI4" s="197"/>
      <c r="AJ4" s="197"/>
      <c r="AK4" s="197"/>
      <c r="AL4" s="198"/>
      <c r="AM4" s="19"/>
      <c r="AN4" s="193" t="str">
        <f>IF(A3&lt;&gt;"","April " &amp;A3,"")</f>
        <v>April 0</v>
      </c>
      <c r="AO4" s="194"/>
      <c r="AP4" s="194"/>
      <c r="AQ4" s="194"/>
      <c r="AR4" s="194"/>
      <c r="AS4" s="194"/>
      <c r="AT4" s="195"/>
      <c r="AU4" s="19"/>
      <c r="AV4" s="196" t="str">
        <f>IF(A3&lt;&gt;"","Mai " &amp;A3,"")</f>
        <v>Mai 0</v>
      </c>
      <c r="AW4" s="197"/>
      <c r="AX4" s="197"/>
      <c r="AY4" s="197"/>
      <c r="AZ4" s="197"/>
      <c r="BA4" s="197"/>
      <c r="BB4" s="198"/>
      <c r="BC4" s="19"/>
      <c r="BD4" s="193" t="str">
        <f>IF(A3&lt;&gt;"","Juni " &amp;A3,"")</f>
        <v>Juni 0</v>
      </c>
      <c r="BE4" s="194"/>
      <c r="BF4" s="194"/>
      <c r="BG4" s="194"/>
      <c r="BH4" s="194"/>
      <c r="BI4" s="194"/>
      <c r="BJ4" s="195"/>
      <c r="BK4" s="19"/>
      <c r="BL4" s="196" t="str">
        <f>IF(A3&lt;&gt;"","Juli " &amp;A3,"")</f>
        <v>Juli 0</v>
      </c>
      <c r="BM4" s="197"/>
      <c r="BN4" s="197"/>
      <c r="BO4" s="197"/>
      <c r="BP4" s="197"/>
      <c r="BQ4" s="197"/>
      <c r="BR4" s="198"/>
      <c r="BS4" s="19"/>
      <c r="BT4" s="193" t="str">
        <f>IF(A3&lt;&gt;"","August 1 " &amp;A3,"")</f>
        <v>August 1 0</v>
      </c>
      <c r="BU4" s="194"/>
      <c r="BV4" s="194"/>
      <c r="BW4" s="194"/>
      <c r="BX4" s="194"/>
      <c r="BY4" s="194"/>
      <c r="BZ4" s="195"/>
      <c r="CA4" s="19"/>
      <c r="CB4" s="193" t="str">
        <f>IF(A3&lt;&gt;"","August 2 " &amp;A3,"")</f>
        <v>August 2 0</v>
      </c>
      <c r="CC4" s="194"/>
      <c r="CD4" s="194"/>
      <c r="CE4" s="194"/>
      <c r="CF4" s="194"/>
      <c r="CG4" s="194"/>
      <c r="CH4" s="195"/>
      <c r="CI4" s="19"/>
      <c r="CJ4" s="196" t="str">
        <f>IF(A3&lt;&gt;"","September " &amp;A3,"")</f>
        <v>September 0</v>
      </c>
      <c r="CK4" s="197"/>
      <c r="CL4" s="197"/>
      <c r="CM4" s="197"/>
      <c r="CN4" s="197"/>
      <c r="CO4" s="197"/>
      <c r="CP4" s="198"/>
      <c r="CQ4" s="19"/>
      <c r="CR4" s="193" t="str">
        <f>IF(A3&lt;&gt;"","Oktober " &amp;A3,"")</f>
        <v>Oktober 0</v>
      </c>
      <c r="CS4" s="194"/>
      <c r="CT4" s="194"/>
      <c r="CU4" s="194"/>
      <c r="CV4" s="194"/>
      <c r="CW4" s="194"/>
      <c r="CX4" s="195"/>
      <c r="CY4" s="19"/>
      <c r="CZ4" s="196" t="str">
        <f>IF(A3&lt;&gt;"","November " &amp;A3,"")</f>
        <v>November 0</v>
      </c>
      <c r="DA4" s="197"/>
      <c r="DB4" s="197"/>
      <c r="DC4" s="197"/>
      <c r="DD4" s="197"/>
      <c r="DE4" s="197"/>
      <c r="DF4" s="198"/>
      <c r="DG4" s="19"/>
      <c r="DH4" s="193" t="str">
        <f>IF(A3&lt;&gt;"","Dezember " &amp;A3,"")</f>
        <v>Dezember 0</v>
      </c>
      <c r="DI4" s="194"/>
      <c r="DJ4" s="194"/>
      <c r="DK4" s="194"/>
      <c r="DL4" s="194"/>
      <c r="DM4" s="194"/>
      <c r="DN4" s="195"/>
      <c r="DO4" s="65"/>
    </row>
    <row r="5" spans="1:119" ht="13" hidden="1" x14ac:dyDescent="0.3">
      <c r="A5" s="185"/>
      <c r="B5" s="65"/>
      <c r="C5" s="65"/>
      <c r="D5" s="65"/>
      <c r="E5" s="65"/>
      <c r="F5" s="112"/>
      <c r="G5" s="65"/>
      <c r="H5" s="186">
        <v>12</v>
      </c>
      <c r="I5" s="187">
        <v>12</v>
      </c>
      <c r="J5" s="187">
        <v>12</v>
      </c>
      <c r="K5" s="187">
        <v>12</v>
      </c>
      <c r="L5" s="187">
        <v>12</v>
      </c>
      <c r="M5" s="187"/>
      <c r="N5" s="188"/>
      <c r="O5" s="3"/>
      <c r="P5" s="189">
        <v>1</v>
      </c>
      <c r="Q5" s="190">
        <v>1</v>
      </c>
      <c r="R5" s="190">
        <v>1</v>
      </c>
      <c r="S5" s="190">
        <v>1</v>
      </c>
      <c r="T5" s="190">
        <v>1</v>
      </c>
      <c r="U5" s="190"/>
      <c r="V5" s="191"/>
      <c r="W5" s="3"/>
      <c r="X5" s="186">
        <f>P5+1</f>
        <v>2</v>
      </c>
      <c r="Y5" s="187">
        <f t="shared" ref="Y5:AB5" si="0">Q5+1</f>
        <v>2</v>
      </c>
      <c r="Z5" s="187">
        <f t="shared" si="0"/>
        <v>2</v>
      </c>
      <c r="AA5" s="187">
        <f t="shared" si="0"/>
        <v>2</v>
      </c>
      <c r="AB5" s="187">
        <f t="shared" si="0"/>
        <v>2</v>
      </c>
      <c r="AC5" s="187"/>
      <c r="AD5" s="188"/>
      <c r="AE5" s="3"/>
      <c r="AF5" s="189">
        <f>X5+1</f>
        <v>3</v>
      </c>
      <c r="AG5" s="190">
        <f t="shared" ref="AG5" si="1">Y5+1</f>
        <v>3</v>
      </c>
      <c r="AH5" s="190">
        <f t="shared" ref="AH5" si="2">Z5+1</f>
        <v>3</v>
      </c>
      <c r="AI5" s="190">
        <f t="shared" ref="AI5" si="3">AA5+1</f>
        <v>3</v>
      </c>
      <c r="AJ5" s="190">
        <f t="shared" ref="AJ5" si="4">AB5+1</f>
        <v>3</v>
      </c>
      <c r="AK5" s="190"/>
      <c r="AL5" s="191"/>
      <c r="AM5" s="19"/>
      <c r="AN5" s="186">
        <f>AF5+1</f>
        <v>4</v>
      </c>
      <c r="AO5" s="187">
        <f t="shared" ref="AO5" si="5">AG5+1</f>
        <v>4</v>
      </c>
      <c r="AP5" s="187">
        <f t="shared" ref="AP5" si="6">AH5+1</f>
        <v>4</v>
      </c>
      <c r="AQ5" s="187">
        <f t="shared" ref="AQ5" si="7">AI5+1</f>
        <v>4</v>
      </c>
      <c r="AR5" s="187">
        <f t="shared" ref="AR5" si="8">AJ5+1</f>
        <v>4</v>
      </c>
      <c r="AS5" s="187"/>
      <c r="AT5" s="188"/>
      <c r="AU5" s="3"/>
      <c r="AV5" s="189">
        <f>AN5+1</f>
        <v>5</v>
      </c>
      <c r="AW5" s="190">
        <f t="shared" ref="AW5" si="9">AO5+1</f>
        <v>5</v>
      </c>
      <c r="AX5" s="190">
        <f t="shared" ref="AX5" si="10">AP5+1</f>
        <v>5</v>
      </c>
      <c r="AY5" s="190">
        <f t="shared" ref="AY5" si="11">AQ5+1</f>
        <v>5</v>
      </c>
      <c r="AZ5" s="190">
        <f t="shared" ref="AZ5" si="12">AR5+1</f>
        <v>5</v>
      </c>
      <c r="BA5" s="190"/>
      <c r="BB5" s="191"/>
      <c r="BC5" s="19"/>
      <c r="BD5" s="186">
        <f>AV5+1</f>
        <v>6</v>
      </c>
      <c r="BE5" s="187">
        <f t="shared" ref="BE5" si="13">AW5+1</f>
        <v>6</v>
      </c>
      <c r="BF5" s="187">
        <f t="shared" ref="BF5" si="14">AX5+1</f>
        <v>6</v>
      </c>
      <c r="BG5" s="187">
        <f t="shared" ref="BG5" si="15">AY5+1</f>
        <v>6</v>
      </c>
      <c r="BH5" s="187">
        <f t="shared" ref="BH5" si="16">AZ5+1</f>
        <v>6</v>
      </c>
      <c r="BI5" s="187"/>
      <c r="BJ5" s="188"/>
      <c r="BK5" s="3"/>
      <c r="BL5" s="189">
        <f>BD5+1</f>
        <v>7</v>
      </c>
      <c r="BM5" s="190">
        <f t="shared" ref="BM5" si="17">BE5+1</f>
        <v>7</v>
      </c>
      <c r="BN5" s="190">
        <f t="shared" ref="BN5" si="18">BF5+1</f>
        <v>7</v>
      </c>
      <c r="BO5" s="190">
        <f t="shared" ref="BO5" si="19">BG5+1</f>
        <v>7</v>
      </c>
      <c r="BP5" s="190">
        <f t="shared" ref="BP5" si="20">BH5+1</f>
        <v>7</v>
      </c>
      <c r="BQ5" s="190"/>
      <c r="BR5" s="191"/>
      <c r="BS5" s="19"/>
      <c r="BT5" s="186">
        <f>BL5+1</f>
        <v>8</v>
      </c>
      <c r="BU5" s="187">
        <f t="shared" ref="BU5" si="21">BM5+1</f>
        <v>8</v>
      </c>
      <c r="BV5" s="187">
        <f t="shared" ref="BV5" si="22">BN5+1</f>
        <v>8</v>
      </c>
      <c r="BW5" s="187">
        <f t="shared" ref="BW5" si="23">BO5+1</f>
        <v>8</v>
      </c>
      <c r="BX5" s="187">
        <f t="shared" ref="BX5" si="24">BP5+1</f>
        <v>8</v>
      </c>
      <c r="BY5" s="187"/>
      <c r="BZ5" s="188"/>
      <c r="CA5" s="19"/>
      <c r="CB5" s="186">
        <f>BT5</f>
        <v>8</v>
      </c>
      <c r="CC5" s="187">
        <f t="shared" ref="CC5:CF5" si="25">BU5</f>
        <v>8</v>
      </c>
      <c r="CD5" s="187">
        <f t="shared" si="25"/>
        <v>8</v>
      </c>
      <c r="CE5" s="187">
        <f t="shared" si="25"/>
        <v>8</v>
      </c>
      <c r="CF5" s="187">
        <f t="shared" si="25"/>
        <v>8</v>
      </c>
      <c r="CG5" s="187"/>
      <c r="CH5" s="188"/>
      <c r="CI5" s="19"/>
      <c r="CJ5" s="189">
        <f>CB5+1</f>
        <v>9</v>
      </c>
      <c r="CK5" s="190">
        <f t="shared" ref="CK5" si="26">CC5+1</f>
        <v>9</v>
      </c>
      <c r="CL5" s="190">
        <f t="shared" ref="CL5" si="27">CD5+1</f>
        <v>9</v>
      </c>
      <c r="CM5" s="190">
        <f t="shared" ref="CM5" si="28">CE5+1</f>
        <v>9</v>
      </c>
      <c r="CN5" s="190">
        <f t="shared" ref="CN5" si="29">CF5+1</f>
        <v>9</v>
      </c>
      <c r="CO5" s="190"/>
      <c r="CP5" s="191"/>
      <c r="CQ5" s="19"/>
      <c r="CR5" s="186">
        <f>CJ5+1</f>
        <v>10</v>
      </c>
      <c r="CS5" s="187">
        <f t="shared" ref="CS5" si="30">CK5+1</f>
        <v>10</v>
      </c>
      <c r="CT5" s="187">
        <f t="shared" ref="CT5" si="31">CL5+1</f>
        <v>10</v>
      </c>
      <c r="CU5" s="187">
        <f t="shared" ref="CU5" si="32">CM5+1</f>
        <v>10</v>
      </c>
      <c r="CV5" s="187">
        <f t="shared" ref="CV5" si="33">CN5+1</f>
        <v>10</v>
      </c>
      <c r="CW5" s="187"/>
      <c r="CX5" s="188"/>
      <c r="CY5" s="3"/>
      <c r="CZ5" s="189">
        <f>CR5+1</f>
        <v>11</v>
      </c>
      <c r="DA5" s="190">
        <f t="shared" ref="DA5" si="34">CS5+1</f>
        <v>11</v>
      </c>
      <c r="DB5" s="190">
        <f t="shared" ref="DB5" si="35">CT5+1</f>
        <v>11</v>
      </c>
      <c r="DC5" s="190">
        <f t="shared" ref="DC5" si="36">CU5+1</f>
        <v>11</v>
      </c>
      <c r="DD5" s="190">
        <f t="shared" ref="DD5" si="37">CV5+1</f>
        <v>11</v>
      </c>
      <c r="DE5" s="190"/>
      <c r="DF5" s="191"/>
      <c r="DG5" s="19"/>
      <c r="DH5" s="186">
        <f>CZ5+1</f>
        <v>12</v>
      </c>
      <c r="DI5" s="187">
        <f t="shared" ref="DI5" si="38">DA5+1</f>
        <v>12</v>
      </c>
      <c r="DJ5" s="187">
        <f t="shared" ref="DJ5" si="39">DB5+1</f>
        <v>12</v>
      </c>
      <c r="DK5" s="187">
        <f t="shared" ref="DK5" si="40">DC5+1</f>
        <v>12</v>
      </c>
      <c r="DL5" s="187">
        <f t="shared" ref="DL5" si="41">DD5+1</f>
        <v>12</v>
      </c>
      <c r="DM5" s="187"/>
      <c r="DN5" s="188"/>
      <c r="DO5" s="65"/>
    </row>
    <row r="6" spans="1:119" x14ac:dyDescent="0.25">
      <c r="A6" s="71"/>
      <c r="B6" s="67"/>
      <c r="C6" s="67"/>
      <c r="D6" s="67"/>
      <c r="E6" s="67"/>
      <c r="F6" s="72"/>
      <c r="G6" s="72"/>
      <c r="H6" s="73"/>
      <c r="I6" s="74"/>
      <c r="J6" s="74"/>
      <c r="K6" s="74"/>
      <c r="L6" s="74"/>
      <c r="M6" s="75"/>
      <c r="N6" s="76"/>
      <c r="O6" s="71"/>
      <c r="P6" s="77"/>
      <c r="Q6" s="78"/>
      <c r="R6" s="78"/>
      <c r="S6" s="78"/>
      <c r="T6" s="78"/>
      <c r="U6" s="79"/>
      <c r="V6" s="80"/>
      <c r="W6" s="81"/>
      <c r="X6" s="73"/>
      <c r="Y6" s="74"/>
      <c r="Z6" s="74"/>
      <c r="AA6" s="74"/>
      <c r="AB6" s="74"/>
      <c r="AC6" s="75"/>
      <c r="AD6" s="76"/>
      <c r="AE6" s="71"/>
      <c r="AF6" s="77"/>
      <c r="AG6" s="78"/>
      <c r="AH6" s="78"/>
      <c r="AI6" s="78"/>
      <c r="AJ6" s="78"/>
      <c r="AK6" s="79"/>
      <c r="AL6" s="80"/>
      <c r="AM6" s="81"/>
      <c r="AN6" s="73"/>
      <c r="AO6" s="74"/>
      <c r="AP6" s="74"/>
      <c r="AQ6" s="74"/>
      <c r="AR6" s="74"/>
      <c r="AS6" s="75"/>
      <c r="AT6" s="76"/>
      <c r="AU6" s="71"/>
      <c r="AV6" s="77"/>
      <c r="AW6" s="78"/>
      <c r="AX6" s="78"/>
      <c r="AY6" s="78"/>
      <c r="AZ6" s="78"/>
      <c r="BA6" s="79"/>
      <c r="BB6" s="80"/>
      <c r="BC6" s="81"/>
      <c r="BD6" s="73"/>
      <c r="BE6" s="74"/>
      <c r="BF6" s="74"/>
      <c r="BG6" s="74"/>
      <c r="BH6" s="74"/>
      <c r="BI6" s="75"/>
      <c r="BJ6" s="76"/>
      <c r="BK6" s="71"/>
      <c r="BL6" s="77"/>
      <c r="BM6" s="78"/>
      <c r="BN6" s="78"/>
      <c r="BO6" s="78"/>
      <c r="BP6" s="78"/>
      <c r="BQ6" s="79"/>
      <c r="BR6" s="80"/>
      <c r="BS6" s="81"/>
      <c r="BT6" s="73"/>
      <c r="BU6" s="74"/>
      <c r="BV6" s="74"/>
      <c r="BW6" s="74"/>
      <c r="BX6" s="74"/>
      <c r="BY6" s="75"/>
      <c r="BZ6" s="76"/>
      <c r="CA6" s="71"/>
      <c r="CB6" s="73"/>
      <c r="CC6" s="74"/>
      <c r="CD6" s="74"/>
      <c r="CE6" s="74"/>
      <c r="CF6" s="74"/>
      <c r="CG6" s="75"/>
      <c r="CH6" s="76"/>
      <c r="CI6" s="71"/>
      <c r="CJ6" s="77"/>
      <c r="CK6" s="78"/>
      <c r="CL6" s="78"/>
      <c r="CM6" s="78"/>
      <c r="CN6" s="78"/>
      <c r="CO6" s="79"/>
      <c r="CP6" s="80"/>
      <c r="CQ6" s="81"/>
      <c r="CR6" s="73"/>
      <c r="CS6" s="74"/>
      <c r="CT6" s="74"/>
      <c r="CU6" s="74"/>
      <c r="CV6" s="74"/>
      <c r="CW6" s="75"/>
      <c r="CX6" s="76"/>
      <c r="CY6" s="71"/>
      <c r="CZ6" s="77"/>
      <c r="DA6" s="78"/>
      <c r="DB6" s="78"/>
      <c r="DC6" s="78"/>
      <c r="DD6" s="78"/>
      <c r="DE6" s="79"/>
      <c r="DF6" s="80"/>
      <c r="DG6" s="81"/>
      <c r="DH6" s="73"/>
      <c r="DI6" s="74"/>
      <c r="DJ6" s="74"/>
      <c r="DK6" s="74"/>
      <c r="DL6" s="74"/>
      <c r="DM6" s="75"/>
      <c r="DN6" s="76"/>
      <c r="DO6" s="71"/>
    </row>
    <row r="7" spans="1:119" ht="23" x14ac:dyDescent="0.25">
      <c r="A7" s="82" t="s">
        <v>6</v>
      </c>
      <c r="B7" s="83" t="s">
        <v>9</v>
      </c>
      <c r="C7" s="83" t="s">
        <v>78</v>
      </c>
      <c r="D7" s="83" t="s">
        <v>79</v>
      </c>
      <c r="E7" s="83" t="s">
        <v>80</v>
      </c>
      <c r="F7" s="84" t="s">
        <v>5</v>
      </c>
      <c r="G7" s="85"/>
      <c r="H7" s="86" t="s">
        <v>0</v>
      </c>
      <c r="I7" s="87" t="s">
        <v>1</v>
      </c>
      <c r="J7" s="87" t="s">
        <v>2</v>
      </c>
      <c r="K7" s="87" t="s">
        <v>3</v>
      </c>
      <c r="L7" s="87" t="s">
        <v>4</v>
      </c>
      <c r="M7" s="88" t="s">
        <v>13</v>
      </c>
      <c r="N7" s="89" t="s">
        <v>14</v>
      </c>
      <c r="O7" s="90"/>
      <c r="P7" s="86" t="s">
        <v>0</v>
      </c>
      <c r="Q7" s="87" t="s">
        <v>1</v>
      </c>
      <c r="R7" s="87" t="s">
        <v>2</v>
      </c>
      <c r="S7" s="87" t="s">
        <v>3</v>
      </c>
      <c r="T7" s="87" t="s">
        <v>4</v>
      </c>
      <c r="U7" s="88" t="s">
        <v>13</v>
      </c>
      <c r="V7" s="89" t="s">
        <v>14</v>
      </c>
      <c r="W7" s="91"/>
      <c r="X7" s="86" t="s">
        <v>0</v>
      </c>
      <c r="Y7" s="87" t="s">
        <v>1</v>
      </c>
      <c r="Z7" s="87" t="s">
        <v>2</v>
      </c>
      <c r="AA7" s="87" t="s">
        <v>3</v>
      </c>
      <c r="AB7" s="87" t="s">
        <v>4</v>
      </c>
      <c r="AC7" s="87" t="s">
        <v>13</v>
      </c>
      <c r="AD7" s="92" t="s">
        <v>14</v>
      </c>
      <c r="AE7" s="90"/>
      <c r="AF7" s="86" t="s">
        <v>0</v>
      </c>
      <c r="AG7" s="87" t="s">
        <v>1</v>
      </c>
      <c r="AH7" s="87" t="s">
        <v>2</v>
      </c>
      <c r="AI7" s="87" t="s">
        <v>3</v>
      </c>
      <c r="AJ7" s="87" t="s">
        <v>4</v>
      </c>
      <c r="AK7" s="88" t="s">
        <v>13</v>
      </c>
      <c r="AL7" s="89" t="s">
        <v>14</v>
      </c>
      <c r="AM7" s="91"/>
      <c r="AN7" s="86" t="s">
        <v>0</v>
      </c>
      <c r="AO7" s="87" t="s">
        <v>1</v>
      </c>
      <c r="AP7" s="87" t="s">
        <v>2</v>
      </c>
      <c r="AQ7" s="87" t="s">
        <v>3</v>
      </c>
      <c r="AR7" s="87" t="s">
        <v>4</v>
      </c>
      <c r="AS7" s="87" t="s">
        <v>13</v>
      </c>
      <c r="AT7" s="92" t="s">
        <v>14</v>
      </c>
      <c r="AU7" s="90"/>
      <c r="AV7" s="86" t="s">
        <v>0</v>
      </c>
      <c r="AW7" s="87" t="s">
        <v>1</v>
      </c>
      <c r="AX7" s="87" t="s">
        <v>2</v>
      </c>
      <c r="AY7" s="87" t="s">
        <v>3</v>
      </c>
      <c r="AZ7" s="87" t="s">
        <v>4</v>
      </c>
      <c r="BA7" s="88" t="s">
        <v>13</v>
      </c>
      <c r="BB7" s="89" t="s">
        <v>14</v>
      </c>
      <c r="BC7" s="91"/>
      <c r="BD7" s="86" t="s">
        <v>0</v>
      </c>
      <c r="BE7" s="87" t="s">
        <v>1</v>
      </c>
      <c r="BF7" s="87" t="s">
        <v>2</v>
      </c>
      <c r="BG7" s="87" t="s">
        <v>3</v>
      </c>
      <c r="BH7" s="87" t="s">
        <v>4</v>
      </c>
      <c r="BI7" s="87" t="s">
        <v>13</v>
      </c>
      <c r="BJ7" s="92" t="s">
        <v>14</v>
      </c>
      <c r="BK7" s="90"/>
      <c r="BL7" s="86" t="s">
        <v>0</v>
      </c>
      <c r="BM7" s="87" t="s">
        <v>1</v>
      </c>
      <c r="BN7" s="87" t="s">
        <v>2</v>
      </c>
      <c r="BO7" s="87" t="s">
        <v>3</v>
      </c>
      <c r="BP7" s="87" t="s">
        <v>4</v>
      </c>
      <c r="BQ7" s="88" t="s">
        <v>13</v>
      </c>
      <c r="BR7" s="89" t="s">
        <v>14</v>
      </c>
      <c r="BS7" s="91"/>
      <c r="BT7" s="86" t="s">
        <v>0</v>
      </c>
      <c r="BU7" s="87" t="s">
        <v>1</v>
      </c>
      <c r="BV7" s="87" t="s">
        <v>2</v>
      </c>
      <c r="BW7" s="87" t="s">
        <v>3</v>
      </c>
      <c r="BX7" s="87" t="s">
        <v>4</v>
      </c>
      <c r="BY7" s="87" t="s">
        <v>13</v>
      </c>
      <c r="BZ7" s="92" t="s">
        <v>14</v>
      </c>
      <c r="CA7" s="90"/>
      <c r="CB7" s="86" t="s">
        <v>0</v>
      </c>
      <c r="CC7" s="87" t="s">
        <v>1</v>
      </c>
      <c r="CD7" s="87" t="s">
        <v>2</v>
      </c>
      <c r="CE7" s="87" t="s">
        <v>3</v>
      </c>
      <c r="CF7" s="87" t="s">
        <v>4</v>
      </c>
      <c r="CG7" s="87" t="s">
        <v>13</v>
      </c>
      <c r="CH7" s="92" t="s">
        <v>14</v>
      </c>
      <c r="CI7" s="90"/>
      <c r="CJ7" s="86" t="s">
        <v>0</v>
      </c>
      <c r="CK7" s="87" t="s">
        <v>1</v>
      </c>
      <c r="CL7" s="87" t="s">
        <v>2</v>
      </c>
      <c r="CM7" s="87" t="s">
        <v>3</v>
      </c>
      <c r="CN7" s="87" t="s">
        <v>4</v>
      </c>
      <c r="CO7" s="88" t="s">
        <v>13</v>
      </c>
      <c r="CP7" s="89" t="s">
        <v>14</v>
      </c>
      <c r="CQ7" s="91"/>
      <c r="CR7" s="86" t="s">
        <v>0</v>
      </c>
      <c r="CS7" s="87" t="s">
        <v>1</v>
      </c>
      <c r="CT7" s="87" t="s">
        <v>2</v>
      </c>
      <c r="CU7" s="87" t="s">
        <v>3</v>
      </c>
      <c r="CV7" s="87" t="s">
        <v>4</v>
      </c>
      <c r="CW7" s="87" t="s">
        <v>13</v>
      </c>
      <c r="CX7" s="92" t="s">
        <v>14</v>
      </c>
      <c r="CY7" s="90"/>
      <c r="CZ7" s="86" t="s">
        <v>0</v>
      </c>
      <c r="DA7" s="87" t="s">
        <v>1</v>
      </c>
      <c r="DB7" s="87" t="s">
        <v>2</v>
      </c>
      <c r="DC7" s="87" t="s">
        <v>3</v>
      </c>
      <c r="DD7" s="87" t="s">
        <v>4</v>
      </c>
      <c r="DE7" s="88" t="s">
        <v>13</v>
      </c>
      <c r="DF7" s="89" t="s">
        <v>14</v>
      </c>
      <c r="DG7" s="91"/>
      <c r="DH7" s="86" t="s">
        <v>0</v>
      </c>
      <c r="DI7" s="87" t="s">
        <v>1</v>
      </c>
      <c r="DJ7" s="87" t="s">
        <v>2</v>
      </c>
      <c r="DK7" s="87" t="s">
        <v>3</v>
      </c>
      <c r="DL7" s="87" t="s">
        <v>4</v>
      </c>
      <c r="DM7" s="87" t="s">
        <v>13</v>
      </c>
      <c r="DN7" s="92" t="s">
        <v>14</v>
      </c>
      <c r="DO7" s="90"/>
    </row>
    <row r="8" spans="1:119" x14ac:dyDescent="0.25">
      <c r="A8" s="50"/>
      <c r="B8" s="51"/>
      <c r="C8" s="31" t="str">
        <f ca="1">IF(B8&lt;&gt;"",DATEDIF(B8,TODAY(),"Y")&amp;" J, " &amp; DATEDIF(B8,TODAY(),"YM")&amp; " Mt","")</f>
        <v/>
      </c>
      <c r="D8" s="192"/>
      <c r="E8" s="192"/>
      <c r="F8" s="52"/>
      <c r="G8" s="53"/>
      <c r="H8" s="54"/>
      <c r="I8" s="55"/>
      <c r="J8" s="55"/>
      <c r="K8" s="55"/>
      <c r="L8" s="55"/>
      <c r="M8" s="56"/>
      <c r="N8" s="57"/>
      <c r="O8" s="58"/>
      <c r="P8" s="59" t="str">
        <f>IF(OR(DATE($A$3,P$5,1)&lt;$E8,$E8=""),IF(H8="","",IF(H8=1.5,IF(DATE($A$3,P$5,1)&gt;EDATE($B8,18),1,H8),H8)), "")</f>
        <v/>
      </c>
      <c r="Q8" s="60" t="str">
        <f t="shared" ref="Q8:T9" si="42">IF(OR(DATE($A$3,Q$5,1)&lt;$E8,$E8=""),IF(I8="","",IF(I8=1.5,IF(DATE($A$3,Q$5,1)&gt;EDATE($B8,18),1,I8),I8)), "")</f>
        <v/>
      </c>
      <c r="R8" s="60" t="str">
        <f t="shared" si="42"/>
        <v/>
      </c>
      <c r="S8" s="60" t="str">
        <f t="shared" si="42"/>
        <v/>
      </c>
      <c r="T8" s="60" t="str">
        <f t="shared" si="42"/>
        <v/>
      </c>
      <c r="U8" s="61" t="str">
        <f t="shared" ref="U8:U9" si="43">IF(M8="","",M8)</f>
        <v/>
      </c>
      <c r="V8" s="62"/>
      <c r="W8" s="63"/>
      <c r="X8" s="54" t="str">
        <f>IF(OR(DATE($A$3,X$5,1)&lt;$E8,$E8=""),IF(P8="","",IF(P8=1.5,IF(DATE($A$3,X$5,1)&gt;EDATE($B8,18),1,P8),P8)), "")</f>
        <v/>
      </c>
      <c r="Y8" s="55" t="str">
        <f t="shared" ref="Y8:Y9" si="44">IF(OR(DATE($A$3,Y$5,1)&lt;$E8,$E8=""),IF(Q8="","",IF(Q8=1.5,IF(DATE($A$3,Y$5,1)&gt;EDATE($B8,18),1,Q8),Q8)), "")</f>
        <v/>
      </c>
      <c r="Z8" s="55" t="str">
        <f t="shared" ref="Z8:Z9" si="45">IF(OR(DATE($A$3,Z$5,1)&lt;$E8,$E8=""),IF(R8="","",IF(R8=1.5,IF(DATE($A$3,Z$5,1)&gt;EDATE($B8,18),1,R8),R8)), "")</f>
        <v/>
      </c>
      <c r="AA8" s="55" t="str">
        <f t="shared" ref="AA8:AA9" si="46">IF(OR(DATE($A$3,AA$5,1)&lt;$E8,$E8=""),IF(S8="","",IF(S8=1.5,IF(DATE($A$3,AA$5,1)&gt;EDATE($B8,18),1,S8),S8)), "")</f>
        <v/>
      </c>
      <c r="AB8" s="55" t="str">
        <f t="shared" ref="AB8:AB9" si="47">IF(OR(DATE($A$3,AB$5,1)&lt;$E8,$E8=""),IF(T8="","",IF(T8=1.5,IF(DATE($A$3,AB$5,1)&gt;EDATE($B8,18),1,T8),T8)), "")</f>
        <v/>
      </c>
      <c r="AC8" s="56" t="str">
        <f t="shared" ref="AC8:AC9" si="48">IF(U8="","",U8)</f>
        <v/>
      </c>
      <c r="AD8" s="57"/>
      <c r="AE8" s="58"/>
      <c r="AF8" s="59" t="str">
        <f>IF(OR(DATE($A$3,AF$5,1)&lt;$E8,$E8=""),IF(X8="","",IF(X8=1.5,IF(DATE($A$3,AF$5,1)&gt;EDATE($B8,18),1,X8),X8)), "")</f>
        <v/>
      </c>
      <c r="AG8" s="60" t="str">
        <f t="shared" ref="AG8:AG9" si="49">IF(OR(DATE($A$3,AG$5,1)&lt;$E8,$E8=""),IF(Y8="","",IF(Y8=1.5,IF(DATE($A$3,AG$5,1)&gt;EDATE($B8,18),1,Y8),Y8)), "")</f>
        <v/>
      </c>
      <c r="AH8" s="60" t="str">
        <f t="shared" ref="AH8:AH9" si="50">IF(OR(DATE($A$3,AH$5,1)&lt;$E8,$E8=""),IF(Z8="","",IF(Z8=1.5,IF(DATE($A$3,AH$5,1)&gt;EDATE($B8,18),1,Z8),Z8)), "")</f>
        <v/>
      </c>
      <c r="AI8" s="60" t="str">
        <f t="shared" ref="AI8:AI9" si="51">IF(OR(DATE($A$3,AI$5,1)&lt;$E8,$E8=""),IF(AA8="","",IF(AA8=1.5,IF(DATE($A$3,AI$5,1)&gt;EDATE($B8,18),1,AA8),AA8)), "")</f>
        <v/>
      </c>
      <c r="AJ8" s="60" t="str">
        <f t="shared" ref="AJ8:AJ9" si="52">IF(OR(DATE($A$3,AJ$5,1)&lt;$E8,$E8=""),IF(AB8="","",IF(AB8=1.5,IF(DATE($A$3,AJ$5,1)&gt;EDATE($B8,18),1,AB8),AB8)), "")</f>
        <v/>
      </c>
      <c r="AK8" s="61" t="str">
        <f t="shared" ref="AK8:AK9" si="53">IF(AC8="","",AC8)</f>
        <v/>
      </c>
      <c r="AL8" s="62"/>
      <c r="AM8" s="63"/>
      <c r="AN8" s="54" t="str">
        <f>IF(OR(DATE($A$3,AN$5,1)&lt;$E8,$E8=""),IF(AF8="","",IF(AF8=1.5,IF(DATE($A$3,AN$5,1)&gt;EDATE($B8,18),1,AF8),AF8)), "")</f>
        <v/>
      </c>
      <c r="AO8" s="55" t="str">
        <f t="shared" ref="AO8:AO9" si="54">IF(OR(DATE($A$3,AO$5,1)&lt;$E8,$E8=""),IF(AG8="","",IF(AG8=1.5,IF(DATE($A$3,AO$5,1)&gt;EDATE($B8,18),1,AG8),AG8)), "")</f>
        <v/>
      </c>
      <c r="AP8" s="55" t="str">
        <f t="shared" ref="AP8:AP9" si="55">IF(OR(DATE($A$3,AP$5,1)&lt;$E8,$E8=""),IF(AH8="","",IF(AH8=1.5,IF(DATE($A$3,AP$5,1)&gt;EDATE($B8,18),1,AH8),AH8)), "")</f>
        <v/>
      </c>
      <c r="AQ8" s="55" t="str">
        <f t="shared" ref="AQ8:AQ9" si="56">IF(OR(DATE($A$3,AQ$5,1)&lt;$E8,$E8=""),IF(AI8="","",IF(AI8=1.5,IF(DATE($A$3,AQ$5,1)&gt;EDATE($B8,18),1,AI8),AI8)), "")</f>
        <v/>
      </c>
      <c r="AR8" s="55" t="str">
        <f t="shared" ref="AR8:AR9" si="57">IF(OR(DATE($A$3,AR$5,1)&lt;$E8,$E8=""),IF(AJ8="","",IF(AJ8=1.5,IF(DATE($A$3,AR$5,1)&gt;EDATE($B8,18),1,AJ8),AJ8)), "")</f>
        <v/>
      </c>
      <c r="AS8" s="56" t="str">
        <f t="shared" ref="AS8:AS9" si="58">IF(AK8="","",AK8)</f>
        <v/>
      </c>
      <c r="AT8" s="57"/>
      <c r="AU8" s="58"/>
      <c r="AV8" s="59" t="str">
        <f>IF(OR(DATE($A$3,AV$5,1)&lt;$E8,$E8=""),IF(AN8="","",IF(AN8=1.5,IF(DATE($A$3,AV$5,1)&gt;EDATE($B8,18),1,AN8),AN8)), "")</f>
        <v/>
      </c>
      <c r="AW8" s="60" t="str">
        <f t="shared" ref="AW8:AW9" si="59">IF(OR(DATE($A$3,AW$5,1)&lt;$E8,$E8=""),IF(AO8="","",IF(AO8=1.5,IF(DATE($A$3,AW$5,1)&gt;EDATE($B8,18),1,AO8),AO8)), "")</f>
        <v/>
      </c>
      <c r="AX8" s="60" t="str">
        <f t="shared" ref="AX8:AX9" si="60">IF(OR(DATE($A$3,AX$5,1)&lt;$E8,$E8=""),IF(AP8="","",IF(AP8=1.5,IF(DATE($A$3,AX$5,1)&gt;EDATE($B8,18),1,AP8),AP8)), "")</f>
        <v/>
      </c>
      <c r="AY8" s="60" t="str">
        <f t="shared" ref="AY8:AY9" si="61">IF(OR(DATE($A$3,AY$5,1)&lt;$E8,$E8=""),IF(AQ8="","",IF(AQ8=1.5,IF(DATE($A$3,AY$5,1)&gt;EDATE($B8,18),1,AQ8),AQ8)), "")</f>
        <v/>
      </c>
      <c r="AZ8" s="60" t="str">
        <f t="shared" ref="AZ8:AZ9" si="62">IF(OR(DATE($A$3,AZ$5,1)&lt;$E8,$E8=""),IF(AR8="","",IF(AR8=1.5,IF(DATE($A$3,AZ$5,1)&gt;EDATE($B8,18),1,AR8),AR8)), "")</f>
        <v/>
      </c>
      <c r="BA8" s="61" t="str">
        <f t="shared" ref="BA8:BA9" si="63">IF(AS8="","",AS8)</f>
        <v/>
      </c>
      <c r="BB8" s="62"/>
      <c r="BC8" s="63"/>
      <c r="BD8" s="54" t="str">
        <f>IF(OR(DATE($A$3,BD$5,1)&lt;$E8,$E8=""),IF(AV8="","",IF(AV8=1.5,IF(DATE($A$3,BD$5,1)&gt;EDATE($B8,18),1,AV8),AV8)), "")</f>
        <v/>
      </c>
      <c r="BE8" s="55" t="str">
        <f t="shared" ref="BE8:BE9" si="64">IF(OR(DATE($A$3,BE$5,1)&lt;$E8,$E8=""),IF(AW8="","",IF(AW8=1.5,IF(DATE($A$3,BE$5,1)&gt;EDATE($B8,18),1,AW8),AW8)), "")</f>
        <v/>
      </c>
      <c r="BF8" s="55" t="str">
        <f t="shared" ref="BF8:BF9" si="65">IF(OR(DATE($A$3,BF$5,1)&lt;$E8,$E8=""),IF(AX8="","",IF(AX8=1.5,IF(DATE($A$3,BF$5,1)&gt;EDATE($B8,18),1,AX8),AX8)), "")</f>
        <v/>
      </c>
      <c r="BG8" s="55" t="str">
        <f t="shared" ref="BG8:BG9" si="66">IF(OR(DATE($A$3,BG$5,1)&lt;$E8,$E8=""),IF(AY8="","",IF(AY8=1.5,IF(DATE($A$3,BG$5,1)&gt;EDATE($B8,18),1,AY8),AY8)), "")</f>
        <v/>
      </c>
      <c r="BH8" s="55" t="str">
        <f t="shared" ref="BH8:BH9" si="67">IF(OR(DATE($A$3,BH$5,1)&lt;$E8,$E8=""),IF(AZ8="","",IF(AZ8=1.5,IF(DATE($A$3,BH$5,1)&gt;EDATE($B8,18),1,AZ8),AZ8)), "")</f>
        <v/>
      </c>
      <c r="BI8" s="56" t="str">
        <f t="shared" ref="BI8:BI9" si="68">IF(BA8="","",BA8)</f>
        <v/>
      </c>
      <c r="BJ8" s="57"/>
      <c r="BK8" s="58"/>
      <c r="BL8" s="59" t="str">
        <f>IF(OR(DATE($A$3,BL$5,1)&lt;$E8,$E8=""),IF(BD8="","",IF(BD8=1.5,IF(DATE($A$3,BL$5,1)&gt;EDATE($B8,18),1,BD8),BD8)), "")</f>
        <v/>
      </c>
      <c r="BM8" s="60" t="str">
        <f t="shared" ref="BM8:BM9" si="69">IF(OR(DATE($A$3,BM$5,1)&lt;$E8,$E8=""),IF(BE8="","",IF(BE8=1.5,IF(DATE($A$3,BM$5,1)&gt;EDATE($B8,18),1,BE8),BE8)), "")</f>
        <v/>
      </c>
      <c r="BN8" s="60" t="str">
        <f t="shared" ref="BN8:BN9" si="70">IF(OR(DATE($A$3,BN$5,1)&lt;$E8,$E8=""),IF(BF8="","",IF(BF8=1.5,IF(DATE($A$3,BN$5,1)&gt;EDATE($B8,18),1,BF8),BF8)), "")</f>
        <v/>
      </c>
      <c r="BO8" s="60" t="str">
        <f t="shared" ref="BO8:BO9" si="71">IF(OR(DATE($A$3,BO$5,1)&lt;$E8,$E8=""),IF(BG8="","",IF(BG8=1.5,IF(DATE($A$3,BO$5,1)&gt;EDATE($B8,18),1,BG8),BG8)), "")</f>
        <v/>
      </c>
      <c r="BP8" s="60" t="str">
        <f t="shared" ref="BP8:BP9" si="72">IF(OR(DATE($A$3,BP$5,1)&lt;$E8,$E8=""),IF(BH8="","",IF(BH8=1.5,IF(DATE($A$3,BP$5,1)&gt;EDATE($B8,18),1,BH8),BH8)), "")</f>
        <v/>
      </c>
      <c r="BQ8" s="61" t="str">
        <f t="shared" ref="BQ8:BQ9" si="73">IF(BI8="","",BI8)</f>
        <v/>
      </c>
      <c r="BR8" s="62"/>
      <c r="BS8" s="63"/>
      <c r="BT8" s="54" t="str">
        <f>IF(OR(DATE($A$3,BT$5,1)&lt;$E8,$E8=""),IF(BL8="","",IF(BL8=1.5,IF(DATE($A$3,BT$5,1)&gt;EDATE($B8,18),1,BL8),BL8)), "")</f>
        <v/>
      </c>
      <c r="BU8" s="55" t="str">
        <f t="shared" ref="BU8:BU9" si="74">IF(OR(DATE($A$3,BU$5,1)&lt;$E8,$E8=""),IF(BM8="","",IF(BM8=1.5,IF(DATE($A$3,BU$5,1)&gt;EDATE($B8,18),1,BM8),BM8)), "")</f>
        <v/>
      </c>
      <c r="BV8" s="55" t="str">
        <f t="shared" ref="BV8:BV9" si="75">IF(OR(DATE($A$3,BV$5,1)&lt;$E8,$E8=""),IF(BN8="","",IF(BN8=1.5,IF(DATE($A$3,BV$5,1)&gt;EDATE($B8,18),1,BN8),BN8)), "")</f>
        <v/>
      </c>
      <c r="BW8" s="55" t="str">
        <f t="shared" ref="BW8:BW9" si="76">IF(OR(DATE($A$3,BW$5,1)&lt;$E8,$E8=""),IF(BO8="","",IF(BO8=1.5,IF(DATE($A$3,BW$5,1)&gt;EDATE($B8,18),1,BO8),BO8)), "")</f>
        <v/>
      </c>
      <c r="BX8" s="55" t="str">
        <f t="shared" ref="BX8:BX9" si="77">IF(OR(DATE($A$3,BX$5,1)&lt;$E8,$E8=""),IF(BP8="","",IF(BP8=1.5,IF(DATE($A$3,BX$5,1)&gt;EDATE($B8,18),1,BP8),BP8)), "")</f>
        <v/>
      </c>
      <c r="BY8" s="56" t="str">
        <f t="shared" ref="BY8:BY9" si="78">IF(BQ8="","",BQ8)</f>
        <v/>
      </c>
      <c r="BZ8" s="57"/>
      <c r="CA8" s="58"/>
      <c r="CB8" s="54" t="str">
        <f>IF(OR(DATE($A$3,CB$5,1)&lt;$E8,$E8=""),IF(BT8="","",IF(BT8=1.5,IF(DATE($A$3,CB$5,1)&gt;EDATE($B8,18),1,BT8),BT8)), "")</f>
        <v/>
      </c>
      <c r="CC8" s="55" t="str">
        <f t="shared" ref="CC8:CC9" si="79">IF(OR(DATE($A$3,CC$5,1)&lt;$E8,$E8=""),IF(BU8="","",IF(BU8=1.5,IF(DATE($A$3,CC$5,1)&gt;EDATE($B8,18),1,BU8),BU8)), "")</f>
        <v/>
      </c>
      <c r="CD8" s="55" t="str">
        <f t="shared" ref="CD8:CD9" si="80">IF(OR(DATE($A$3,CD$5,1)&lt;$E8,$E8=""),IF(BV8="","",IF(BV8=1.5,IF(DATE($A$3,CD$5,1)&gt;EDATE($B8,18),1,BV8),BV8)), "")</f>
        <v/>
      </c>
      <c r="CE8" s="55" t="str">
        <f t="shared" ref="CE8:CE9" si="81">IF(OR(DATE($A$3,CE$5,1)&lt;$E8,$E8=""),IF(BW8="","",IF(BW8=1.5,IF(DATE($A$3,CE$5,1)&gt;EDATE($B8,18),1,BW8),BW8)), "")</f>
        <v/>
      </c>
      <c r="CF8" s="55" t="str">
        <f t="shared" ref="CF8:CF9" si="82">IF(OR(DATE($A$3,CF$5,1)&lt;$E8,$E8=""),IF(BX8="","",IF(BX8=1.5,IF(DATE($A$3,CF$5,1)&gt;EDATE($B8,18),1,BX8),BX8)), "")</f>
        <v/>
      </c>
      <c r="CG8" s="55" t="str">
        <f t="shared" ref="CG8:CH9" si="83">IF(BY8="","",BY8)</f>
        <v/>
      </c>
      <c r="CH8" s="56" t="str">
        <f t="shared" si="83"/>
        <v/>
      </c>
      <c r="CI8" s="58"/>
      <c r="CJ8" s="59" t="str">
        <f>IF(OR(DATE($A$3,CJ$5,1)&lt;$E8,$E8=""),IF(CB8="","",IF(CB8=1.5,IF(DATE($A$3,CJ$5,1)&gt;EDATE($B8,18),1,CB8),CB8)), "")</f>
        <v/>
      </c>
      <c r="CK8" s="60" t="str">
        <f t="shared" ref="CK8:CK9" si="84">IF(OR(DATE($A$3,CK$5,1)&lt;$E8,$E8=""),IF(CC8="","",IF(CC8=1.5,IF(DATE($A$3,CK$5,1)&gt;EDATE($B8,18),1,CC8),CC8)), "")</f>
        <v/>
      </c>
      <c r="CL8" s="60" t="str">
        <f t="shared" ref="CL8:CL9" si="85">IF(OR(DATE($A$3,CL$5,1)&lt;$E8,$E8=""),IF(CD8="","",IF(CD8=1.5,IF(DATE($A$3,CL$5,1)&gt;EDATE($B8,18),1,CD8),CD8)), "")</f>
        <v/>
      </c>
      <c r="CM8" s="60" t="str">
        <f t="shared" ref="CM8:CM9" si="86">IF(OR(DATE($A$3,CM$5,1)&lt;$E8,$E8=""),IF(CE8="","",IF(CE8=1.5,IF(DATE($A$3,CM$5,1)&gt;EDATE($B8,18),1,CE8),CE8)), "")</f>
        <v/>
      </c>
      <c r="CN8" s="60" t="str">
        <f t="shared" ref="CN8:CN9" si="87">IF(OR(DATE($A$3,CN$5,1)&lt;$E8,$E8=""),IF(CF8="","",IF(CF8=1.5,IF(DATE($A$3,CN$5,1)&gt;EDATE($B8,18),1,CF8),CF8)), "")</f>
        <v/>
      </c>
      <c r="CO8" s="61" t="str">
        <f t="shared" ref="CO8:CO9" si="88">IF(CG8="","",CG8)</f>
        <v/>
      </c>
      <c r="CP8" s="62"/>
      <c r="CQ8" s="63"/>
      <c r="CR8" s="54" t="str">
        <f>IF(OR(DATE($A$3,CR$5,1)&lt;$E8,$E8=""),IF(CJ8="","",IF(CJ8=1.5,IF(DATE($A$3,CR$5,1)&gt;EDATE($B8,18),1,CJ8),CJ8)), "")</f>
        <v/>
      </c>
      <c r="CS8" s="55" t="str">
        <f t="shared" ref="CS8:CS9" si="89">IF(OR(DATE($A$3,CS$5,1)&lt;$E8,$E8=""),IF(CK8="","",IF(CK8=1.5,IF(DATE($A$3,CS$5,1)&gt;EDATE($B8,18),1,CK8),CK8)), "")</f>
        <v/>
      </c>
      <c r="CT8" s="55" t="str">
        <f t="shared" ref="CT8:CT9" si="90">IF(OR(DATE($A$3,CT$5,1)&lt;$E8,$E8=""),IF(CL8="","",IF(CL8=1.5,IF(DATE($A$3,CT$5,1)&gt;EDATE($B8,18),1,CL8),CL8)), "")</f>
        <v/>
      </c>
      <c r="CU8" s="55" t="str">
        <f t="shared" ref="CU8:CU9" si="91">IF(OR(DATE($A$3,CU$5,1)&lt;$E8,$E8=""),IF(CM8="","",IF(CM8=1.5,IF(DATE($A$3,CU$5,1)&gt;EDATE($B8,18),1,CM8),CM8)), "")</f>
        <v/>
      </c>
      <c r="CV8" s="55" t="str">
        <f t="shared" ref="CV8:CV9" si="92">IF(OR(DATE($A$3,CV$5,1)&lt;$E8,$E8=""),IF(CN8="","",IF(CN8=1.5,IF(DATE($A$3,CV$5,1)&gt;EDATE($B8,18),1,CN8),CN8)), "")</f>
        <v/>
      </c>
      <c r="CW8" s="56" t="str">
        <f t="shared" ref="CW8:CW9" si="93">IF(CO8="","",CO8)</f>
        <v/>
      </c>
      <c r="CX8" s="57"/>
      <c r="CY8" s="58"/>
      <c r="CZ8" s="59" t="str">
        <f>IF(OR(DATE($A$3,CZ$5,1)&lt;$E8,$E8=""),IF(CR8="","",IF(CR8=1.5,IF(DATE($A$3,CZ$5,1)&gt;EDATE($B8,18),1,CR8),CR8)), "")</f>
        <v/>
      </c>
      <c r="DA8" s="60" t="str">
        <f t="shared" ref="DA8:DA9" si="94">IF(OR(DATE($A$3,DA$5,1)&lt;$E8,$E8=""),IF(CS8="","",IF(CS8=1.5,IF(DATE($A$3,DA$5,1)&gt;EDATE($B8,18),1,CS8),CS8)), "")</f>
        <v/>
      </c>
      <c r="DB8" s="60" t="str">
        <f t="shared" ref="DB8:DB9" si="95">IF(OR(DATE($A$3,DB$5,1)&lt;$E8,$E8=""),IF(CT8="","",IF(CT8=1.5,IF(DATE($A$3,DB$5,1)&gt;EDATE($B8,18),1,CT8),CT8)), "")</f>
        <v/>
      </c>
      <c r="DC8" s="60" t="str">
        <f t="shared" ref="DC8:DC9" si="96">IF(OR(DATE($A$3,DC$5,1)&lt;$E8,$E8=""),IF(CU8="","",IF(CU8=1.5,IF(DATE($A$3,DC$5,1)&gt;EDATE($B8,18),1,CU8),CU8)), "")</f>
        <v/>
      </c>
      <c r="DD8" s="60" t="str">
        <f t="shared" ref="DD8:DD9" si="97">IF(OR(DATE($A$3,DD$5,1)&lt;$E8,$E8=""),IF(CV8="","",IF(CV8=1.5,IF(DATE($A$3,DD$5,1)&gt;EDATE($B8,18),1,CV8),CV8)), "")</f>
        <v/>
      </c>
      <c r="DE8" s="61" t="str">
        <f t="shared" ref="DE8:DE9" si="98">IF(CW8="","",CW8)</f>
        <v/>
      </c>
      <c r="DF8" s="62"/>
      <c r="DG8" s="63"/>
      <c r="DH8" s="54" t="str">
        <f>IF(OR(DATE($A$3,DH$5,1)&lt;$E8,$E8=""),IF(CZ8="","",IF(CZ8=1.5,IF(DATE($A$3,DH$5,1)&gt;EDATE($B8,18),1,CZ8),CZ8)), "")</f>
        <v/>
      </c>
      <c r="DI8" s="55" t="str">
        <f t="shared" ref="DI8:DI9" si="99">IF(OR(DATE($A$3,DI$5,1)&lt;$E8,$E8=""),IF(DA8="","",IF(DA8=1.5,IF(DATE($A$3,DI$5,1)&gt;EDATE($B8,18),1,DA8),DA8)), "")</f>
        <v/>
      </c>
      <c r="DJ8" s="55" t="str">
        <f t="shared" ref="DJ8:DJ9" si="100">IF(OR(DATE($A$3,DJ$5,1)&lt;$E8,$E8=""),IF(DB8="","",IF(DB8=1.5,IF(DATE($A$3,DJ$5,1)&gt;EDATE($B8,18),1,DB8),DB8)), "")</f>
        <v/>
      </c>
      <c r="DK8" s="55" t="str">
        <f t="shared" ref="DK8:DK9" si="101">IF(OR(DATE($A$3,DK$5,1)&lt;$E8,$E8=""),IF(DC8="","",IF(DC8=1.5,IF(DATE($A$3,DK$5,1)&gt;EDATE($B8,18),1,DC8),DC8)), "")</f>
        <v/>
      </c>
      <c r="DL8" s="55" t="str">
        <f t="shared" ref="DL8:DL9" si="102">IF(OR(DATE($A$3,DL$5,1)&lt;$E8,$E8=""),IF(DD8="","",IF(DD8=1.5,IF(DATE($A$3,DL$5,1)&gt;EDATE($B8,18),1,DD8),DD8)), "")</f>
        <v/>
      </c>
      <c r="DM8" s="56" t="str">
        <f t="shared" ref="DM8:DM9" si="103">IF(DE8="","",DE8)</f>
        <v/>
      </c>
      <c r="DN8" s="57"/>
      <c r="DO8" s="58"/>
    </row>
    <row r="9" spans="1:119" x14ac:dyDescent="0.25">
      <c r="A9" s="50"/>
      <c r="B9" s="51"/>
      <c r="C9" s="31" t="str">
        <f ca="1">IF(B9&lt;&gt;"",DATEDIF(B9,TODAY(),"Y")&amp;" J, " &amp; DATEDIF(B9,TODAY(),"YM")&amp; " Mt","")</f>
        <v/>
      </c>
      <c r="D9" s="192"/>
      <c r="E9" s="192"/>
      <c r="F9" s="52"/>
      <c r="G9" s="53"/>
      <c r="H9" s="54"/>
      <c r="I9" s="55"/>
      <c r="J9" s="55"/>
      <c r="K9" s="55"/>
      <c r="L9" s="55"/>
      <c r="M9" s="56"/>
      <c r="N9" s="57"/>
      <c r="O9" s="58"/>
      <c r="P9" s="59" t="str">
        <f>IF(OR(DATE($A$3,P$5,1)&lt;$E9,$E9=""),IF(H9="","",IF(H9=1.5,IF(DATE($A$3,P$5,1)&gt;EDATE($B9,18),1,H9),H9)), "")</f>
        <v/>
      </c>
      <c r="Q9" s="60" t="str">
        <f t="shared" si="42"/>
        <v/>
      </c>
      <c r="R9" s="60" t="str">
        <f t="shared" si="42"/>
        <v/>
      </c>
      <c r="S9" s="60" t="str">
        <f t="shared" si="42"/>
        <v/>
      </c>
      <c r="T9" s="60" t="str">
        <f t="shared" si="42"/>
        <v/>
      </c>
      <c r="U9" s="61" t="str">
        <f t="shared" si="43"/>
        <v/>
      </c>
      <c r="V9" s="139"/>
      <c r="W9" s="63"/>
      <c r="X9" s="54" t="str">
        <f>IF(OR(DATE($A$3,X$5,1)&lt;$E9,$E9=""),IF(P9="","",IF(P9=1.5,IF(DATE($A$3,X$5,1)&gt;EDATE($B9,18),1,P9),P9)), "")</f>
        <v/>
      </c>
      <c r="Y9" s="55" t="str">
        <f t="shared" si="44"/>
        <v/>
      </c>
      <c r="Z9" s="55" t="str">
        <f t="shared" si="45"/>
        <v/>
      </c>
      <c r="AA9" s="55" t="str">
        <f t="shared" si="46"/>
        <v/>
      </c>
      <c r="AB9" s="55" t="str">
        <f t="shared" si="47"/>
        <v/>
      </c>
      <c r="AC9" s="56" t="str">
        <f t="shared" si="48"/>
        <v/>
      </c>
      <c r="AD9" s="140"/>
      <c r="AE9" s="58"/>
      <c r="AF9" s="59" t="str">
        <f>IF(OR(DATE($A$3,AF$5,1)&lt;$E9,$E9=""),IF(X9="","",IF(X9=1.5,IF(DATE($A$3,AF$5,1)&gt;EDATE($B9,18),1,X9),X9)), "")</f>
        <v/>
      </c>
      <c r="AG9" s="60" t="str">
        <f t="shared" si="49"/>
        <v/>
      </c>
      <c r="AH9" s="60" t="str">
        <f t="shared" si="50"/>
        <v/>
      </c>
      <c r="AI9" s="60" t="str">
        <f t="shared" si="51"/>
        <v/>
      </c>
      <c r="AJ9" s="60" t="str">
        <f t="shared" si="52"/>
        <v/>
      </c>
      <c r="AK9" s="61" t="str">
        <f t="shared" si="53"/>
        <v/>
      </c>
      <c r="AL9" s="139"/>
      <c r="AM9" s="63"/>
      <c r="AN9" s="54" t="str">
        <f>IF(OR(DATE($A$3,AN$5,1)&lt;$E9,$E9=""),IF(AF9="","",IF(AF9=1.5,IF(DATE($A$3,AN$5,1)&gt;EDATE($B9,18),1,AF9),AF9)), "")</f>
        <v/>
      </c>
      <c r="AO9" s="55" t="str">
        <f t="shared" si="54"/>
        <v/>
      </c>
      <c r="AP9" s="55" t="str">
        <f t="shared" si="55"/>
        <v/>
      </c>
      <c r="AQ9" s="55" t="str">
        <f t="shared" si="56"/>
        <v/>
      </c>
      <c r="AR9" s="55" t="str">
        <f t="shared" si="57"/>
        <v/>
      </c>
      <c r="AS9" s="56" t="str">
        <f t="shared" si="58"/>
        <v/>
      </c>
      <c r="AT9" s="140"/>
      <c r="AU9" s="58"/>
      <c r="AV9" s="59" t="str">
        <f>IF(OR(DATE($A$3,AV$5,1)&lt;$E9,$E9=""),IF(AN9="","",IF(AN9=1.5,IF(DATE($A$3,AV$5,1)&gt;EDATE($B9,18),1,AN9),AN9)), "")</f>
        <v/>
      </c>
      <c r="AW9" s="60" t="str">
        <f t="shared" si="59"/>
        <v/>
      </c>
      <c r="AX9" s="60" t="str">
        <f t="shared" si="60"/>
        <v/>
      </c>
      <c r="AY9" s="60" t="str">
        <f t="shared" si="61"/>
        <v/>
      </c>
      <c r="AZ9" s="60" t="str">
        <f t="shared" si="62"/>
        <v/>
      </c>
      <c r="BA9" s="61" t="str">
        <f t="shared" si="63"/>
        <v/>
      </c>
      <c r="BB9" s="139"/>
      <c r="BC9" s="63"/>
      <c r="BD9" s="54" t="str">
        <f>IF(OR(DATE($A$3,BD$5,1)&lt;$E9,$E9=""),IF(AV9="","",IF(AV9=1.5,IF(DATE($A$3,BD$5,1)&gt;EDATE($B9,18),1,AV9),AV9)), "")</f>
        <v/>
      </c>
      <c r="BE9" s="55" t="str">
        <f t="shared" si="64"/>
        <v/>
      </c>
      <c r="BF9" s="55" t="str">
        <f t="shared" si="65"/>
        <v/>
      </c>
      <c r="BG9" s="55" t="str">
        <f t="shared" si="66"/>
        <v/>
      </c>
      <c r="BH9" s="55" t="str">
        <f t="shared" si="67"/>
        <v/>
      </c>
      <c r="BI9" s="56" t="str">
        <f t="shared" si="68"/>
        <v/>
      </c>
      <c r="BJ9" s="140"/>
      <c r="BK9" s="58"/>
      <c r="BL9" s="59" t="str">
        <f>IF(OR(DATE($A$3,BL$5,1)&lt;$E9,$E9=""),IF(BD9="","",IF(BD9=1.5,IF(DATE($A$3,BL$5,1)&gt;EDATE($B9,18),1,BD9),BD9)), "")</f>
        <v/>
      </c>
      <c r="BM9" s="60" t="str">
        <f t="shared" si="69"/>
        <v/>
      </c>
      <c r="BN9" s="60" t="str">
        <f t="shared" si="70"/>
        <v/>
      </c>
      <c r="BO9" s="60" t="str">
        <f t="shared" si="71"/>
        <v/>
      </c>
      <c r="BP9" s="60" t="str">
        <f t="shared" si="72"/>
        <v/>
      </c>
      <c r="BQ9" s="61" t="str">
        <f t="shared" si="73"/>
        <v/>
      </c>
      <c r="BR9" s="139"/>
      <c r="BS9" s="63"/>
      <c r="BT9" s="54" t="str">
        <f>IF(OR(DATE($A$3,BT$5,1)&lt;$E9,$E9=""),IF(BL9="","",IF(BL9=1.5,IF(DATE($A$3,BT$5,1)&gt;EDATE($B9,18),1,BL9),BL9)), "")</f>
        <v/>
      </c>
      <c r="BU9" s="55" t="str">
        <f t="shared" si="74"/>
        <v/>
      </c>
      <c r="BV9" s="55" t="str">
        <f t="shared" si="75"/>
        <v/>
      </c>
      <c r="BW9" s="55" t="str">
        <f t="shared" si="76"/>
        <v/>
      </c>
      <c r="BX9" s="55" t="str">
        <f t="shared" si="77"/>
        <v/>
      </c>
      <c r="BY9" s="56" t="str">
        <f t="shared" si="78"/>
        <v/>
      </c>
      <c r="BZ9" s="140"/>
      <c r="CA9" s="58"/>
      <c r="CB9" s="54" t="str">
        <f>IF(OR(DATE($A$3,CB$5,1)&lt;$E9,$E9=""),IF(BT9="","",IF(BT9=1.5,IF(DATE($A$3,CB$5,1)&gt;EDATE($B9,18),1,BT9),BT9)), "")</f>
        <v/>
      </c>
      <c r="CC9" s="55" t="str">
        <f t="shared" si="79"/>
        <v/>
      </c>
      <c r="CD9" s="55" t="str">
        <f t="shared" si="80"/>
        <v/>
      </c>
      <c r="CE9" s="55" t="str">
        <f t="shared" si="81"/>
        <v/>
      </c>
      <c r="CF9" s="55" t="str">
        <f t="shared" si="82"/>
        <v/>
      </c>
      <c r="CG9" s="55" t="str">
        <f t="shared" si="83"/>
        <v/>
      </c>
      <c r="CH9" s="56" t="str">
        <f t="shared" si="83"/>
        <v/>
      </c>
      <c r="CI9" s="58"/>
      <c r="CJ9" s="59" t="str">
        <f>IF(OR(DATE($A$3,CJ$5,1)&lt;$E9,$E9=""),IF(CB9="","",IF(CB9=1.5,IF(DATE($A$3,CJ$5,1)&gt;EDATE($B9,18),1,CB9),CB9)), "")</f>
        <v/>
      </c>
      <c r="CK9" s="60" t="str">
        <f t="shared" si="84"/>
        <v/>
      </c>
      <c r="CL9" s="60" t="str">
        <f t="shared" si="85"/>
        <v/>
      </c>
      <c r="CM9" s="60" t="str">
        <f t="shared" si="86"/>
        <v/>
      </c>
      <c r="CN9" s="60" t="str">
        <f t="shared" si="87"/>
        <v/>
      </c>
      <c r="CO9" s="61" t="str">
        <f t="shared" si="88"/>
        <v/>
      </c>
      <c r="CP9" s="139"/>
      <c r="CQ9" s="63"/>
      <c r="CR9" s="54" t="str">
        <f>IF(OR(DATE($A$3,CR$5,1)&lt;$E9,$E9=""),IF(CJ9="","",IF(CJ9=1.5,IF(DATE($A$3,CR$5,1)&gt;EDATE($B9,18),1,CJ9),CJ9)), "")</f>
        <v/>
      </c>
      <c r="CS9" s="55" t="str">
        <f t="shared" si="89"/>
        <v/>
      </c>
      <c r="CT9" s="55" t="str">
        <f t="shared" si="90"/>
        <v/>
      </c>
      <c r="CU9" s="55" t="str">
        <f t="shared" si="91"/>
        <v/>
      </c>
      <c r="CV9" s="55" t="str">
        <f t="shared" si="92"/>
        <v/>
      </c>
      <c r="CW9" s="56" t="str">
        <f t="shared" si="93"/>
        <v/>
      </c>
      <c r="CX9" s="140"/>
      <c r="CY9" s="58"/>
      <c r="CZ9" s="59" t="str">
        <f>IF(OR(DATE($A$3,CZ$5,1)&lt;$E9,$E9=""),IF(CR9="","",IF(CR9=1.5,IF(DATE($A$3,CZ$5,1)&gt;EDATE($B9,18),1,CR9),CR9)), "")</f>
        <v/>
      </c>
      <c r="DA9" s="60" t="str">
        <f t="shared" si="94"/>
        <v/>
      </c>
      <c r="DB9" s="60" t="str">
        <f t="shared" si="95"/>
        <v/>
      </c>
      <c r="DC9" s="60" t="str">
        <f t="shared" si="96"/>
        <v/>
      </c>
      <c r="DD9" s="60" t="str">
        <f t="shared" si="97"/>
        <v/>
      </c>
      <c r="DE9" s="61" t="str">
        <f t="shared" si="98"/>
        <v/>
      </c>
      <c r="DF9" s="139"/>
      <c r="DG9" s="63"/>
      <c r="DH9" s="54" t="str">
        <f>IF(OR(DATE($A$3,DH$5,1)&lt;$E9,$E9=""),IF(CZ9="","",IF(CZ9=1.5,IF(DATE($A$3,DH$5,1)&gt;EDATE($B9,18),1,CZ9),CZ9)), "")</f>
        <v/>
      </c>
      <c r="DI9" s="55" t="str">
        <f t="shared" si="99"/>
        <v/>
      </c>
      <c r="DJ9" s="55" t="str">
        <f t="shared" si="100"/>
        <v/>
      </c>
      <c r="DK9" s="55" t="str">
        <f t="shared" si="101"/>
        <v/>
      </c>
      <c r="DL9" s="55" t="str">
        <f t="shared" si="102"/>
        <v/>
      </c>
      <c r="DM9" s="56" t="str">
        <f t="shared" si="103"/>
        <v/>
      </c>
      <c r="DN9" s="140"/>
      <c r="DO9" s="58"/>
    </row>
    <row r="10" spans="1:119" x14ac:dyDescent="0.25">
      <c r="A10" s="93"/>
      <c r="B10" s="94"/>
      <c r="C10" s="133"/>
      <c r="D10" s="133"/>
      <c r="E10" s="133"/>
      <c r="F10" s="95" t="s">
        <v>7</v>
      </c>
      <c r="G10" s="96"/>
      <c r="H10" s="97"/>
      <c r="I10" s="98"/>
      <c r="J10" s="98"/>
      <c r="K10" s="99"/>
      <c r="L10" s="98"/>
      <c r="M10" s="100"/>
      <c r="N10" s="101"/>
      <c r="O10" s="102"/>
      <c r="P10" s="97"/>
      <c r="Q10" s="98"/>
      <c r="R10" s="98"/>
      <c r="S10" s="99"/>
      <c r="T10" s="98"/>
      <c r="U10" s="100"/>
      <c r="V10" s="103"/>
      <c r="W10" s="104"/>
      <c r="X10" s="97"/>
      <c r="Y10" s="98"/>
      <c r="Z10" s="98"/>
      <c r="AA10" s="99"/>
      <c r="AB10" s="98"/>
      <c r="AC10" s="100"/>
      <c r="AD10" s="103"/>
      <c r="AE10" s="102"/>
      <c r="AF10" s="97"/>
      <c r="AG10" s="98"/>
      <c r="AH10" s="98"/>
      <c r="AI10" s="99"/>
      <c r="AJ10" s="98"/>
      <c r="AK10" s="100"/>
      <c r="AL10" s="103"/>
      <c r="AM10" s="104"/>
      <c r="AN10" s="97"/>
      <c r="AO10" s="98"/>
      <c r="AP10" s="98"/>
      <c r="AQ10" s="99"/>
      <c r="AR10" s="98"/>
      <c r="AS10" s="100"/>
      <c r="AT10" s="103"/>
      <c r="AU10" s="102"/>
      <c r="AV10" s="97"/>
      <c r="AW10" s="98"/>
      <c r="AX10" s="98"/>
      <c r="AY10" s="99"/>
      <c r="AZ10" s="98"/>
      <c r="BA10" s="100"/>
      <c r="BB10" s="103"/>
      <c r="BC10" s="104"/>
      <c r="BD10" s="97"/>
      <c r="BE10" s="98"/>
      <c r="BF10" s="98"/>
      <c r="BG10" s="99"/>
      <c r="BH10" s="98"/>
      <c r="BI10" s="100"/>
      <c r="BJ10" s="103"/>
      <c r="BK10" s="102"/>
      <c r="BL10" s="97"/>
      <c r="BM10" s="98"/>
      <c r="BN10" s="98"/>
      <c r="BO10" s="99"/>
      <c r="BP10" s="98"/>
      <c r="BQ10" s="100"/>
      <c r="BR10" s="103"/>
      <c r="BS10" s="104"/>
      <c r="BT10" s="97"/>
      <c r="BU10" s="98"/>
      <c r="BV10" s="98"/>
      <c r="BW10" s="99"/>
      <c r="BX10" s="98"/>
      <c r="BY10" s="100"/>
      <c r="BZ10" s="103"/>
      <c r="CA10" s="102"/>
      <c r="CB10" s="97"/>
      <c r="CC10" s="98"/>
      <c r="CD10" s="98"/>
      <c r="CE10" s="99"/>
      <c r="CF10" s="98"/>
      <c r="CG10" s="100"/>
      <c r="CH10" s="103"/>
      <c r="CI10" s="102"/>
      <c r="CJ10" s="97"/>
      <c r="CK10" s="98"/>
      <c r="CL10" s="98"/>
      <c r="CM10" s="99"/>
      <c r="CN10" s="98"/>
      <c r="CO10" s="100"/>
      <c r="CP10" s="103"/>
      <c r="CQ10" s="104"/>
      <c r="CR10" s="97"/>
      <c r="CS10" s="98"/>
      <c r="CT10" s="98"/>
      <c r="CU10" s="99"/>
      <c r="CV10" s="98"/>
      <c r="CW10" s="100"/>
      <c r="CX10" s="103"/>
      <c r="CY10" s="102"/>
      <c r="CZ10" s="97"/>
      <c r="DA10" s="98"/>
      <c r="DB10" s="98"/>
      <c r="DC10" s="99"/>
      <c r="DD10" s="98"/>
      <c r="DE10" s="100"/>
      <c r="DF10" s="103"/>
      <c r="DG10" s="104"/>
      <c r="DH10" s="97"/>
      <c r="DI10" s="98"/>
      <c r="DJ10" s="98"/>
      <c r="DK10" s="99"/>
      <c r="DL10" s="98"/>
      <c r="DM10" s="100"/>
      <c r="DN10" s="103"/>
      <c r="DO10" s="102"/>
    </row>
    <row r="11" spans="1:119" ht="13" x14ac:dyDescent="0.3">
      <c r="A11" s="105"/>
      <c r="B11" s="106"/>
      <c r="C11" s="134"/>
      <c r="D11" s="134"/>
      <c r="E11" s="134"/>
      <c r="F11" s="43">
        <f>AVERAGE(M11,U11,AC11,AK11,AS11,BA11,BI11,BQ11,BY11,CO11,CW11,DE11,DM11)</f>
        <v>0</v>
      </c>
      <c r="G11" s="107"/>
      <c r="H11" s="15">
        <f>SUM(H8:H9)</f>
        <v>0</v>
      </c>
      <c r="I11" s="7">
        <f t="shared" ref="I11:L11" si="104">SUM(I8:I9)</f>
        <v>0</v>
      </c>
      <c r="J11" s="7">
        <f t="shared" si="104"/>
        <v>0</v>
      </c>
      <c r="K11" s="7">
        <f t="shared" si="104"/>
        <v>0</v>
      </c>
      <c r="L11" s="7">
        <f t="shared" si="104"/>
        <v>0</v>
      </c>
      <c r="M11" s="40">
        <f>AVERAGE(H11:L11)</f>
        <v>0</v>
      </c>
      <c r="N11" s="108"/>
      <c r="O11" s="45"/>
      <c r="P11" s="46">
        <f>SUM(P8:P9)</f>
        <v>0</v>
      </c>
      <c r="Q11" s="47">
        <f t="shared" ref="Q11:T11" si="105">SUM(Q8:Q9)</f>
        <v>0</v>
      </c>
      <c r="R11" s="48">
        <f t="shared" si="105"/>
        <v>0</v>
      </c>
      <c r="S11" s="47">
        <f t="shared" si="105"/>
        <v>0</v>
      </c>
      <c r="T11" s="47">
        <f t="shared" si="105"/>
        <v>0</v>
      </c>
      <c r="U11" s="33">
        <f>AVERAGE(P11:T11)</f>
        <v>0</v>
      </c>
      <c r="V11" s="109"/>
      <c r="W11" s="49"/>
      <c r="X11" s="15">
        <f>SUM(X8:X9)</f>
        <v>0</v>
      </c>
      <c r="Y11" s="7">
        <f t="shared" ref="Y11:AB11" si="106">SUM(Y8:Y9)</f>
        <v>0</v>
      </c>
      <c r="Z11" s="7">
        <f t="shared" si="106"/>
        <v>0</v>
      </c>
      <c r="AA11" s="7">
        <f t="shared" si="106"/>
        <v>0</v>
      </c>
      <c r="AB11" s="7">
        <f t="shared" si="106"/>
        <v>0</v>
      </c>
      <c r="AC11" s="40">
        <f>AVERAGE(X11:AB11)</f>
        <v>0</v>
      </c>
      <c r="AD11" s="108"/>
      <c r="AE11" s="45"/>
      <c r="AF11" s="46">
        <f>SUM(AF8:AF9)</f>
        <v>0</v>
      </c>
      <c r="AG11" s="47">
        <f t="shared" ref="AG11:AJ11" si="107">SUM(AG8:AG9)</f>
        <v>0</v>
      </c>
      <c r="AH11" s="48">
        <f t="shared" si="107"/>
        <v>0</v>
      </c>
      <c r="AI11" s="47">
        <f t="shared" si="107"/>
        <v>0</v>
      </c>
      <c r="AJ11" s="47">
        <f t="shared" si="107"/>
        <v>0</v>
      </c>
      <c r="AK11" s="33">
        <f>AVERAGE(AF11:AJ11)</f>
        <v>0</v>
      </c>
      <c r="AL11" s="109"/>
      <c r="AM11" s="49"/>
      <c r="AN11" s="15">
        <f>SUM(AN8:AN9)</f>
        <v>0</v>
      </c>
      <c r="AO11" s="7">
        <f t="shared" ref="AO11:AR11" si="108">SUM(AO8:AO9)</f>
        <v>0</v>
      </c>
      <c r="AP11" s="7">
        <f t="shared" si="108"/>
        <v>0</v>
      </c>
      <c r="AQ11" s="7">
        <f t="shared" si="108"/>
        <v>0</v>
      </c>
      <c r="AR11" s="7">
        <f t="shared" si="108"/>
        <v>0</v>
      </c>
      <c r="AS11" s="40">
        <f>AVERAGE(AN11:AR11)</f>
        <v>0</v>
      </c>
      <c r="AT11" s="108"/>
      <c r="AU11" s="45"/>
      <c r="AV11" s="46">
        <f>SUM(AV8:AV9)</f>
        <v>0</v>
      </c>
      <c r="AW11" s="47">
        <f t="shared" ref="AW11:AZ11" si="109">SUM(AW8:AW9)</f>
        <v>0</v>
      </c>
      <c r="AX11" s="48">
        <f t="shared" si="109"/>
        <v>0</v>
      </c>
      <c r="AY11" s="47">
        <f t="shared" si="109"/>
        <v>0</v>
      </c>
      <c r="AZ11" s="47">
        <f t="shared" si="109"/>
        <v>0</v>
      </c>
      <c r="BA11" s="33">
        <f>AVERAGE(AV11:AZ11)</f>
        <v>0</v>
      </c>
      <c r="BB11" s="109"/>
      <c r="BC11" s="49"/>
      <c r="BD11" s="15">
        <f>SUM(BD8:BD9)</f>
        <v>0</v>
      </c>
      <c r="BE11" s="7">
        <f t="shared" ref="BE11:BH11" si="110">SUM(BE8:BE9)</f>
        <v>0</v>
      </c>
      <c r="BF11" s="7">
        <f t="shared" si="110"/>
        <v>0</v>
      </c>
      <c r="BG11" s="7">
        <f t="shared" si="110"/>
        <v>0</v>
      </c>
      <c r="BH11" s="7">
        <f t="shared" si="110"/>
        <v>0</v>
      </c>
      <c r="BI11" s="40">
        <f>AVERAGE(BD11:BH11)</f>
        <v>0</v>
      </c>
      <c r="BJ11" s="108"/>
      <c r="BK11" s="45"/>
      <c r="BL11" s="46">
        <f>SUM(BL8:BL9)</f>
        <v>0</v>
      </c>
      <c r="BM11" s="47">
        <f t="shared" ref="BM11:BP11" si="111">SUM(BM8:BM9)</f>
        <v>0</v>
      </c>
      <c r="BN11" s="48">
        <f t="shared" si="111"/>
        <v>0</v>
      </c>
      <c r="BO11" s="47">
        <f t="shared" si="111"/>
        <v>0</v>
      </c>
      <c r="BP11" s="47">
        <f t="shared" si="111"/>
        <v>0</v>
      </c>
      <c r="BQ11" s="33">
        <f>AVERAGE(BL11:BP11)</f>
        <v>0</v>
      </c>
      <c r="BR11" s="109"/>
      <c r="BS11" s="49"/>
      <c r="BT11" s="15">
        <f>SUM(BT8:BT9)</f>
        <v>0</v>
      </c>
      <c r="BU11" s="7">
        <f t="shared" ref="BU11:BX11" si="112">SUM(BU8:BU9)</f>
        <v>0</v>
      </c>
      <c r="BV11" s="7">
        <f t="shared" si="112"/>
        <v>0</v>
      </c>
      <c r="BW11" s="7">
        <f t="shared" si="112"/>
        <v>0</v>
      </c>
      <c r="BX11" s="7">
        <f t="shared" si="112"/>
        <v>0</v>
      </c>
      <c r="BY11" s="40">
        <f>AVERAGE(BT11:BX11)</f>
        <v>0</v>
      </c>
      <c r="BZ11" s="108"/>
      <c r="CA11" s="45"/>
      <c r="CB11" s="15">
        <f>SUM(CB8:CB9)</f>
        <v>0</v>
      </c>
      <c r="CC11" s="7">
        <f t="shared" ref="CC11:CF11" si="113">SUM(CC8:CC9)</f>
        <v>0</v>
      </c>
      <c r="CD11" s="7">
        <f t="shared" si="113"/>
        <v>0</v>
      </c>
      <c r="CE11" s="7">
        <f t="shared" si="113"/>
        <v>0</v>
      </c>
      <c r="CF11" s="7">
        <f t="shared" si="113"/>
        <v>0</v>
      </c>
      <c r="CG11" s="40">
        <f>AVERAGE(CB11:CF11)</f>
        <v>0</v>
      </c>
      <c r="CH11" s="108"/>
      <c r="CI11" s="45"/>
      <c r="CJ11" s="46">
        <f>SUM(CJ8:CJ9)</f>
        <v>0</v>
      </c>
      <c r="CK11" s="47">
        <f t="shared" ref="CK11:CN11" si="114">SUM(CK8:CK9)</f>
        <v>0</v>
      </c>
      <c r="CL11" s="48">
        <f t="shared" si="114"/>
        <v>0</v>
      </c>
      <c r="CM11" s="47">
        <f t="shared" si="114"/>
        <v>0</v>
      </c>
      <c r="CN11" s="47">
        <f t="shared" si="114"/>
        <v>0</v>
      </c>
      <c r="CO11" s="33">
        <f>AVERAGE(CJ11:CN11)</f>
        <v>0</v>
      </c>
      <c r="CP11" s="109"/>
      <c r="CQ11" s="49"/>
      <c r="CR11" s="15">
        <f>SUM(CR8:CR9)</f>
        <v>0</v>
      </c>
      <c r="CS11" s="7">
        <f t="shared" ref="CS11:CV11" si="115">SUM(CS8:CS9)</f>
        <v>0</v>
      </c>
      <c r="CT11" s="7">
        <f t="shared" si="115"/>
        <v>0</v>
      </c>
      <c r="CU11" s="7">
        <f t="shared" si="115"/>
        <v>0</v>
      </c>
      <c r="CV11" s="7">
        <f t="shared" si="115"/>
        <v>0</v>
      </c>
      <c r="CW11" s="40">
        <f>AVERAGE(CR11:CV11)</f>
        <v>0</v>
      </c>
      <c r="CX11" s="108"/>
      <c r="CY11" s="45"/>
      <c r="CZ11" s="46">
        <f>SUM(CZ8:CZ9)</f>
        <v>0</v>
      </c>
      <c r="DA11" s="47">
        <f t="shared" ref="DA11:DD11" si="116">SUM(DA8:DA9)</f>
        <v>0</v>
      </c>
      <c r="DB11" s="48">
        <f t="shared" si="116"/>
        <v>0</v>
      </c>
      <c r="DC11" s="47">
        <f t="shared" si="116"/>
        <v>0</v>
      </c>
      <c r="DD11" s="47">
        <f t="shared" si="116"/>
        <v>0</v>
      </c>
      <c r="DE11" s="33">
        <f>AVERAGE(CZ11:DD11)</f>
        <v>0</v>
      </c>
      <c r="DF11" s="109"/>
      <c r="DG11" s="49"/>
      <c r="DH11" s="15">
        <f>SUM(DH8:DH9)</f>
        <v>0</v>
      </c>
      <c r="DI11" s="7">
        <f t="shared" ref="DI11:DL11" si="117">SUM(DI8:DI9)</f>
        <v>0</v>
      </c>
      <c r="DJ11" s="7">
        <f t="shared" si="117"/>
        <v>0</v>
      </c>
      <c r="DK11" s="7">
        <f t="shared" si="117"/>
        <v>0</v>
      </c>
      <c r="DL11" s="7">
        <f t="shared" si="117"/>
        <v>0</v>
      </c>
      <c r="DM11" s="40">
        <f>AVERAGE(DH11:DL11)</f>
        <v>0</v>
      </c>
      <c r="DN11" s="108"/>
      <c r="DO11" s="110"/>
    </row>
    <row r="12" spans="1:119" ht="13" x14ac:dyDescent="0.3">
      <c r="A12" s="111" t="s">
        <v>10</v>
      </c>
      <c r="B12" s="65"/>
      <c r="C12" s="65"/>
      <c r="D12" s="65"/>
      <c r="E12" s="65"/>
      <c r="F12" s="132"/>
      <c r="G12" s="112"/>
      <c r="H12" s="14">
        <f>$F$12</f>
        <v>0</v>
      </c>
      <c r="I12" s="6">
        <f t="shared" ref="I12:L12" si="118">$F$12</f>
        <v>0</v>
      </c>
      <c r="J12" s="6">
        <f t="shared" si="118"/>
        <v>0</v>
      </c>
      <c r="K12" s="6">
        <f t="shared" si="118"/>
        <v>0</v>
      </c>
      <c r="L12" s="6">
        <f t="shared" si="118"/>
        <v>0</v>
      </c>
      <c r="M12" s="40">
        <f>AVERAGE(H12:L12)</f>
        <v>0</v>
      </c>
      <c r="N12" s="108"/>
      <c r="O12" s="30"/>
      <c r="P12" s="9">
        <f>$F$12</f>
        <v>0</v>
      </c>
      <c r="Q12" s="5">
        <f t="shared" ref="Q12:T12" si="119">$F$12</f>
        <v>0</v>
      </c>
      <c r="R12" s="5">
        <f t="shared" si="119"/>
        <v>0</v>
      </c>
      <c r="S12" s="5">
        <f t="shared" si="119"/>
        <v>0</v>
      </c>
      <c r="T12" s="5">
        <f t="shared" si="119"/>
        <v>0</v>
      </c>
      <c r="U12" s="33">
        <f>AVERAGE(P12:T12)</f>
        <v>0</v>
      </c>
      <c r="V12" s="109"/>
      <c r="W12" s="37"/>
      <c r="X12" s="14">
        <f>$F$12</f>
        <v>0</v>
      </c>
      <c r="Y12" s="6">
        <f t="shared" ref="Y12:AB12" si="120">$F$12</f>
        <v>0</v>
      </c>
      <c r="Z12" s="6">
        <f t="shared" si="120"/>
        <v>0</v>
      </c>
      <c r="AA12" s="6">
        <f t="shared" si="120"/>
        <v>0</v>
      </c>
      <c r="AB12" s="6">
        <f t="shared" si="120"/>
        <v>0</v>
      </c>
      <c r="AC12" s="40">
        <f>AVERAGE(X12:AB12)</f>
        <v>0</v>
      </c>
      <c r="AD12" s="108"/>
      <c r="AE12" s="30"/>
      <c r="AF12" s="9">
        <f>$F$12</f>
        <v>0</v>
      </c>
      <c r="AG12" s="5">
        <f t="shared" ref="AG12:AJ12" si="121">$F$12</f>
        <v>0</v>
      </c>
      <c r="AH12" s="5">
        <f t="shared" si="121"/>
        <v>0</v>
      </c>
      <c r="AI12" s="5">
        <f t="shared" si="121"/>
        <v>0</v>
      </c>
      <c r="AJ12" s="5">
        <f t="shared" si="121"/>
        <v>0</v>
      </c>
      <c r="AK12" s="33">
        <f>AVERAGE(AF12:AJ12)</f>
        <v>0</v>
      </c>
      <c r="AL12" s="109"/>
      <c r="AM12" s="37"/>
      <c r="AN12" s="14">
        <f>$F$12</f>
        <v>0</v>
      </c>
      <c r="AO12" s="6">
        <f t="shared" ref="AO12:AR12" si="122">$F$12</f>
        <v>0</v>
      </c>
      <c r="AP12" s="6">
        <f t="shared" si="122"/>
        <v>0</v>
      </c>
      <c r="AQ12" s="6">
        <f t="shared" si="122"/>
        <v>0</v>
      </c>
      <c r="AR12" s="6">
        <f t="shared" si="122"/>
        <v>0</v>
      </c>
      <c r="AS12" s="40">
        <f>AVERAGE(AN12:AR12)</f>
        <v>0</v>
      </c>
      <c r="AT12" s="108"/>
      <c r="AU12" s="30"/>
      <c r="AV12" s="9">
        <f>$F$12</f>
        <v>0</v>
      </c>
      <c r="AW12" s="5">
        <f t="shared" ref="AW12:AZ12" si="123">$F$12</f>
        <v>0</v>
      </c>
      <c r="AX12" s="5">
        <f t="shared" si="123"/>
        <v>0</v>
      </c>
      <c r="AY12" s="5">
        <f t="shared" si="123"/>
        <v>0</v>
      </c>
      <c r="AZ12" s="5">
        <f t="shared" si="123"/>
        <v>0</v>
      </c>
      <c r="BA12" s="33">
        <f>AVERAGE(AV12:AZ12)</f>
        <v>0</v>
      </c>
      <c r="BB12" s="109"/>
      <c r="BC12" s="37"/>
      <c r="BD12" s="14">
        <f>$F$12</f>
        <v>0</v>
      </c>
      <c r="BE12" s="6">
        <f t="shared" ref="BE12:BH12" si="124">$F$12</f>
        <v>0</v>
      </c>
      <c r="BF12" s="6">
        <f t="shared" si="124"/>
        <v>0</v>
      </c>
      <c r="BG12" s="6">
        <f t="shared" si="124"/>
        <v>0</v>
      </c>
      <c r="BH12" s="6">
        <f t="shared" si="124"/>
        <v>0</v>
      </c>
      <c r="BI12" s="40">
        <f>AVERAGE(BD12:BH12)</f>
        <v>0</v>
      </c>
      <c r="BJ12" s="108"/>
      <c r="BK12" s="30"/>
      <c r="BL12" s="9">
        <f>$F$12</f>
        <v>0</v>
      </c>
      <c r="BM12" s="5">
        <f t="shared" ref="BM12:BP12" si="125">$F$12</f>
        <v>0</v>
      </c>
      <c r="BN12" s="5">
        <f t="shared" si="125"/>
        <v>0</v>
      </c>
      <c r="BO12" s="5">
        <f t="shared" si="125"/>
        <v>0</v>
      </c>
      <c r="BP12" s="5">
        <f t="shared" si="125"/>
        <v>0</v>
      </c>
      <c r="BQ12" s="33">
        <f>AVERAGE(BL12:BP12)</f>
        <v>0</v>
      </c>
      <c r="BR12" s="109"/>
      <c r="BS12" s="37"/>
      <c r="BT12" s="14">
        <f>$F$12</f>
        <v>0</v>
      </c>
      <c r="BU12" s="6">
        <f t="shared" ref="BU12:BX12" si="126">$F$12</f>
        <v>0</v>
      </c>
      <c r="BV12" s="6">
        <f t="shared" si="126"/>
        <v>0</v>
      </c>
      <c r="BW12" s="6">
        <f t="shared" si="126"/>
        <v>0</v>
      </c>
      <c r="BX12" s="6">
        <f t="shared" si="126"/>
        <v>0</v>
      </c>
      <c r="BY12" s="40">
        <f>AVERAGE(BT12:BX12)</f>
        <v>0</v>
      </c>
      <c r="BZ12" s="108"/>
      <c r="CA12" s="30"/>
      <c r="CB12" s="14">
        <f>$F$12</f>
        <v>0</v>
      </c>
      <c r="CC12" s="6">
        <f t="shared" ref="CC12:CF12" si="127">$F$12</f>
        <v>0</v>
      </c>
      <c r="CD12" s="6">
        <f t="shared" si="127"/>
        <v>0</v>
      </c>
      <c r="CE12" s="6">
        <f t="shared" si="127"/>
        <v>0</v>
      </c>
      <c r="CF12" s="6">
        <f t="shared" si="127"/>
        <v>0</v>
      </c>
      <c r="CG12" s="40">
        <f>AVERAGE(CB12:CF12)</f>
        <v>0</v>
      </c>
      <c r="CH12" s="108"/>
      <c r="CI12" s="30"/>
      <c r="CJ12" s="9">
        <f>$F$12</f>
        <v>0</v>
      </c>
      <c r="CK12" s="5">
        <f t="shared" ref="CK12:CN12" si="128">$F$12</f>
        <v>0</v>
      </c>
      <c r="CL12" s="5">
        <f t="shared" si="128"/>
        <v>0</v>
      </c>
      <c r="CM12" s="5">
        <f t="shared" si="128"/>
        <v>0</v>
      </c>
      <c r="CN12" s="5">
        <f t="shared" si="128"/>
        <v>0</v>
      </c>
      <c r="CO12" s="33">
        <f>AVERAGE(CJ12:CN12)</f>
        <v>0</v>
      </c>
      <c r="CP12" s="109"/>
      <c r="CQ12" s="37"/>
      <c r="CR12" s="14">
        <f>$F$12</f>
        <v>0</v>
      </c>
      <c r="CS12" s="6">
        <f t="shared" ref="CS12:CV12" si="129">$F$12</f>
        <v>0</v>
      </c>
      <c r="CT12" s="6">
        <f t="shared" si="129"/>
        <v>0</v>
      </c>
      <c r="CU12" s="6">
        <f t="shared" si="129"/>
        <v>0</v>
      </c>
      <c r="CV12" s="6">
        <f t="shared" si="129"/>
        <v>0</v>
      </c>
      <c r="CW12" s="40">
        <f>AVERAGE(CR12:CV12)</f>
        <v>0</v>
      </c>
      <c r="CX12" s="108"/>
      <c r="CY12" s="30"/>
      <c r="CZ12" s="9">
        <f>$F$12</f>
        <v>0</v>
      </c>
      <c r="DA12" s="5">
        <f t="shared" ref="DA12:DD12" si="130">$F$12</f>
        <v>0</v>
      </c>
      <c r="DB12" s="5">
        <f t="shared" si="130"/>
        <v>0</v>
      </c>
      <c r="DC12" s="5">
        <f t="shared" si="130"/>
        <v>0</v>
      </c>
      <c r="DD12" s="5">
        <f t="shared" si="130"/>
        <v>0</v>
      </c>
      <c r="DE12" s="33">
        <f>AVERAGE(CZ12:DD12)</f>
        <v>0</v>
      </c>
      <c r="DF12" s="109"/>
      <c r="DG12" s="37"/>
      <c r="DH12" s="14">
        <f>$F$12</f>
        <v>0</v>
      </c>
      <c r="DI12" s="6">
        <f t="shared" ref="DI12:DL12" si="131">$F$12</f>
        <v>0</v>
      </c>
      <c r="DJ12" s="6">
        <f t="shared" si="131"/>
        <v>0</v>
      </c>
      <c r="DK12" s="6">
        <f t="shared" si="131"/>
        <v>0</v>
      </c>
      <c r="DL12" s="6">
        <f t="shared" si="131"/>
        <v>0</v>
      </c>
      <c r="DM12" s="40">
        <f>AVERAGE(DH12:DL12)</f>
        <v>0</v>
      </c>
      <c r="DN12" s="108"/>
      <c r="DO12" s="113"/>
    </row>
    <row r="13" spans="1:119" ht="13" x14ac:dyDescent="0.3">
      <c r="A13" s="114" t="s">
        <v>8</v>
      </c>
      <c r="B13" s="115"/>
      <c r="C13" s="135"/>
      <c r="D13" s="135"/>
      <c r="E13" s="135"/>
      <c r="F13" s="44" t="e">
        <f>AVERAGE(M13,U13,AC13,AK13,AS13,BA13,BI13,BQ13,BY13,CO13,CW13,DE13,DM13)</f>
        <v>#DIV/0!</v>
      </c>
      <c r="G13" s="116"/>
      <c r="H13" s="15" t="e">
        <f>(H11*100)/H12</f>
        <v>#DIV/0!</v>
      </c>
      <c r="I13" s="7" t="e">
        <f t="shared" ref="I13:M13" si="132">(I11*100)/I12</f>
        <v>#DIV/0!</v>
      </c>
      <c r="J13" s="7" t="e">
        <f t="shared" si="132"/>
        <v>#DIV/0!</v>
      </c>
      <c r="K13" s="7" t="e">
        <f t="shared" si="132"/>
        <v>#DIV/0!</v>
      </c>
      <c r="L13" s="7" t="e">
        <f t="shared" si="132"/>
        <v>#DIV/0!</v>
      </c>
      <c r="M13" s="40" t="e">
        <f t="shared" si="132"/>
        <v>#DIV/0!</v>
      </c>
      <c r="N13" s="108"/>
      <c r="O13" s="42"/>
      <c r="P13" s="26" t="e">
        <f>(P11*100)/P12</f>
        <v>#DIV/0!</v>
      </c>
      <c r="Q13" s="27" t="e">
        <f t="shared" ref="Q13:U13" si="133">(Q11*100)/Q12</f>
        <v>#DIV/0!</v>
      </c>
      <c r="R13" s="27" t="e">
        <f t="shared" si="133"/>
        <v>#DIV/0!</v>
      </c>
      <c r="S13" s="27" t="e">
        <f t="shared" si="133"/>
        <v>#DIV/0!</v>
      </c>
      <c r="T13" s="27" t="e">
        <f t="shared" si="133"/>
        <v>#DIV/0!</v>
      </c>
      <c r="U13" s="33" t="e">
        <f t="shared" si="133"/>
        <v>#DIV/0!</v>
      </c>
      <c r="V13" s="109"/>
      <c r="W13" s="38"/>
      <c r="X13" s="28" t="e">
        <f>(X11*100)/X12</f>
        <v>#DIV/0!</v>
      </c>
      <c r="Y13" s="29" t="e">
        <f t="shared" ref="Y13:AB13" si="134">(Y11*100)/Y12</f>
        <v>#DIV/0!</v>
      </c>
      <c r="Z13" s="29" t="e">
        <f t="shared" si="134"/>
        <v>#DIV/0!</v>
      </c>
      <c r="AA13" s="29" t="e">
        <f t="shared" si="134"/>
        <v>#DIV/0!</v>
      </c>
      <c r="AB13" s="29" t="e">
        <f t="shared" si="134"/>
        <v>#DIV/0!</v>
      </c>
      <c r="AC13" s="40" t="e">
        <f>(AC11*100)/AC12</f>
        <v>#DIV/0!</v>
      </c>
      <c r="AD13" s="108"/>
      <c r="AE13" s="42"/>
      <c r="AF13" s="26" t="e">
        <f>(AF11*100)/AF12</f>
        <v>#DIV/0!</v>
      </c>
      <c r="AG13" s="27" t="e">
        <f t="shared" ref="AG13:AK13" si="135">(AG11*100)/AG12</f>
        <v>#DIV/0!</v>
      </c>
      <c r="AH13" s="27" t="e">
        <f t="shared" si="135"/>
        <v>#DIV/0!</v>
      </c>
      <c r="AI13" s="27" t="e">
        <f t="shared" si="135"/>
        <v>#DIV/0!</v>
      </c>
      <c r="AJ13" s="27" t="e">
        <f t="shared" si="135"/>
        <v>#DIV/0!</v>
      </c>
      <c r="AK13" s="33" t="e">
        <f t="shared" si="135"/>
        <v>#DIV/0!</v>
      </c>
      <c r="AL13" s="109"/>
      <c r="AM13" s="38"/>
      <c r="AN13" s="28" t="e">
        <f>(AN11*100)/AN12</f>
        <v>#DIV/0!</v>
      </c>
      <c r="AO13" s="29" t="e">
        <f t="shared" ref="AO13:AR13" si="136">(AO11*100)/AO12</f>
        <v>#DIV/0!</v>
      </c>
      <c r="AP13" s="29" t="e">
        <f t="shared" si="136"/>
        <v>#DIV/0!</v>
      </c>
      <c r="AQ13" s="29" t="e">
        <f t="shared" si="136"/>
        <v>#DIV/0!</v>
      </c>
      <c r="AR13" s="29" t="e">
        <f t="shared" si="136"/>
        <v>#DIV/0!</v>
      </c>
      <c r="AS13" s="40" t="e">
        <f>(AS11*100)/AS12</f>
        <v>#DIV/0!</v>
      </c>
      <c r="AT13" s="108"/>
      <c r="AU13" s="42"/>
      <c r="AV13" s="26" t="e">
        <f>(AV11*100)/AV12</f>
        <v>#DIV/0!</v>
      </c>
      <c r="AW13" s="27" t="e">
        <f t="shared" ref="AW13:BA13" si="137">(AW11*100)/AW12</f>
        <v>#DIV/0!</v>
      </c>
      <c r="AX13" s="27" t="e">
        <f t="shared" si="137"/>
        <v>#DIV/0!</v>
      </c>
      <c r="AY13" s="27" t="e">
        <f t="shared" si="137"/>
        <v>#DIV/0!</v>
      </c>
      <c r="AZ13" s="27" t="e">
        <f t="shared" si="137"/>
        <v>#DIV/0!</v>
      </c>
      <c r="BA13" s="33" t="e">
        <f t="shared" si="137"/>
        <v>#DIV/0!</v>
      </c>
      <c r="BB13" s="109"/>
      <c r="BC13" s="38"/>
      <c r="BD13" s="28" t="e">
        <f>(BD11*100)/BD12</f>
        <v>#DIV/0!</v>
      </c>
      <c r="BE13" s="29" t="e">
        <f t="shared" ref="BE13:BH13" si="138">(BE11*100)/BE12</f>
        <v>#DIV/0!</v>
      </c>
      <c r="BF13" s="29" t="e">
        <f t="shared" si="138"/>
        <v>#DIV/0!</v>
      </c>
      <c r="BG13" s="29" t="e">
        <f t="shared" si="138"/>
        <v>#DIV/0!</v>
      </c>
      <c r="BH13" s="29" t="e">
        <f t="shared" si="138"/>
        <v>#DIV/0!</v>
      </c>
      <c r="BI13" s="40" t="e">
        <f>(BI11*100)/BI12</f>
        <v>#DIV/0!</v>
      </c>
      <c r="BJ13" s="108"/>
      <c r="BK13" s="42"/>
      <c r="BL13" s="26" t="e">
        <f>(BL11*100)/BL12</f>
        <v>#DIV/0!</v>
      </c>
      <c r="BM13" s="27" t="e">
        <f t="shared" ref="BM13:BQ13" si="139">(BM11*100)/BM12</f>
        <v>#DIV/0!</v>
      </c>
      <c r="BN13" s="27" t="e">
        <f t="shared" si="139"/>
        <v>#DIV/0!</v>
      </c>
      <c r="BO13" s="27" t="e">
        <f t="shared" si="139"/>
        <v>#DIV/0!</v>
      </c>
      <c r="BP13" s="27" t="e">
        <f t="shared" si="139"/>
        <v>#DIV/0!</v>
      </c>
      <c r="BQ13" s="33" t="e">
        <f t="shared" si="139"/>
        <v>#DIV/0!</v>
      </c>
      <c r="BR13" s="109"/>
      <c r="BS13" s="38"/>
      <c r="BT13" s="28" t="e">
        <f>(BT11*100)/BT12</f>
        <v>#DIV/0!</v>
      </c>
      <c r="BU13" s="29" t="e">
        <f t="shared" ref="BU13:BX13" si="140">(BU11*100)/BU12</f>
        <v>#DIV/0!</v>
      </c>
      <c r="BV13" s="29" t="e">
        <f t="shared" si="140"/>
        <v>#DIV/0!</v>
      </c>
      <c r="BW13" s="29" t="e">
        <f t="shared" si="140"/>
        <v>#DIV/0!</v>
      </c>
      <c r="BX13" s="29" t="e">
        <f t="shared" si="140"/>
        <v>#DIV/0!</v>
      </c>
      <c r="BY13" s="40" t="e">
        <f>(BY11*100)/BY12</f>
        <v>#DIV/0!</v>
      </c>
      <c r="BZ13" s="108"/>
      <c r="CA13" s="42"/>
      <c r="CB13" s="28" t="e">
        <f>(CB11*100)/CB12</f>
        <v>#DIV/0!</v>
      </c>
      <c r="CC13" s="29" t="e">
        <f t="shared" ref="CC13:CF13" si="141">(CC11*100)/CC12</f>
        <v>#DIV/0!</v>
      </c>
      <c r="CD13" s="29" t="e">
        <f t="shared" si="141"/>
        <v>#DIV/0!</v>
      </c>
      <c r="CE13" s="29" t="e">
        <f t="shared" si="141"/>
        <v>#DIV/0!</v>
      </c>
      <c r="CF13" s="29" t="e">
        <f t="shared" si="141"/>
        <v>#DIV/0!</v>
      </c>
      <c r="CG13" s="40" t="e">
        <f>(CG11*100)/CG12</f>
        <v>#DIV/0!</v>
      </c>
      <c r="CH13" s="108"/>
      <c r="CI13" s="42"/>
      <c r="CJ13" s="26" t="e">
        <f>(CJ11*100)/CJ12</f>
        <v>#DIV/0!</v>
      </c>
      <c r="CK13" s="27" t="e">
        <f t="shared" ref="CK13:CO13" si="142">(CK11*100)/CK12</f>
        <v>#DIV/0!</v>
      </c>
      <c r="CL13" s="27" t="e">
        <f t="shared" si="142"/>
        <v>#DIV/0!</v>
      </c>
      <c r="CM13" s="27" t="e">
        <f t="shared" si="142"/>
        <v>#DIV/0!</v>
      </c>
      <c r="CN13" s="27" t="e">
        <f t="shared" si="142"/>
        <v>#DIV/0!</v>
      </c>
      <c r="CO13" s="33" t="e">
        <f t="shared" si="142"/>
        <v>#DIV/0!</v>
      </c>
      <c r="CP13" s="109"/>
      <c r="CQ13" s="38"/>
      <c r="CR13" s="28" t="e">
        <f>(CR11*100)/CR12</f>
        <v>#DIV/0!</v>
      </c>
      <c r="CS13" s="29" t="e">
        <f t="shared" ref="CS13:CV13" si="143">(CS11*100)/CS12</f>
        <v>#DIV/0!</v>
      </c>
      <c r="CT13" s="29" t="e">
        <f t="shared" si="143"/>
        <v>#DIV/0!</v>
      </c>
      <c r="CU13" s="29" t="e">
        <f t="shared" si="143"/>
        <v>#DIV/0!</v>
      </c>
      <c r="CV13" s="29" t="e">
        <f t="shared" si="143"/>
        <v>#DIV/0!</v>
      </c>
      <c r="CW13" s="40" t="e">
        <f>(CW11*100)/CW12</f>
        <v>#DIV/0!</v>
      </c>
      <c r="CX13" s="108"/>
      <c r="CY13" s="42"/>
      <c r="CZ13" s="26" t="e">
        <f>(CZ11*100)/CZ12</f>
        <v>#DIV/0!</v>
      </c>
      <c r="DA13" s="27" t="e">
        <f t="shared" ref="DA13:DE13" si="144">(DA11*100)/DA12</f>
        <v>#DIV/0!</v>
      </c>
      <c r="DB13" s="27" t="e">
        <f t="shared" si="144"/>
        <v>#DIV/0!</v>
      </c>
      <c r="DC13" s="27" t="e">
        <f t="shared" si="144"/>
        <v>#DIV/0!</v>
      </c>
      <c r="DD13" s="27" t="e">
        <f t="shared" si="144"/>
        <v>#DIV/0!</v>
      </c>
      <c r="DE13" s="33" t="e">
        <f t="shared" si="144"/>
        <v>#DIV/0!</v>
      </c>
      <c r="DF13" s="109"/>
      <c r="DG13" s="38"/>
      <c r="DH13" s="28" t="e">
        <f>(DH11*100)/DH12</f>
        <v>#DIV/0!</v>
      </c>
      <c r="DI13" s="29" t="e">
        <f t="shared" ref="DI13:DL13" si="145">(DI11*100)/DI12</f>
        <v>#DIV/0!</v>
      </c>
      <c r="DJ13" s="29" t="e">
        <f t="shared" si="145"/>
        <v>#DIV/0!</v>
      </c>
      <c r="DK13" s="29" t="e">
        <f t="shared" si="145"/>
        <v>#DIV/0!</v>
      </c>
      <c r="DL13" s="29" t="e">
        <f t="shared" si="145"/>
        <v>#DIV/0!</v>
      </c>
      <c r="DM13" s="40" t="e">
        <f>(DM11*100)/DM12</f>
        <v>#DIV/0!</v>
      </c>
      <c r="DN13" s="108"/>
      <c r="DO13" s="117"/>
    </row>
    <row r="14" spans="1:119" x14ac:dyDescent="0.25">
      <c r="A14" s="113" t="s">
        <v>15</v>
      </c>
      <c r="B14" s="65"/>
      <c r="C14" s="65"/>
      <c r="D14" s="65"/>
      <c r="E14" s="65"/>
      <c r="F14" s="112"/>
      <c r="G14" s="112"/>
      <c r="H14" s="14">
        <f>COUNT(H8:H9)</f>
        <v>0</v>
      </c>
      <c r="I14" s="6">
        <f t="shared" ref="I14:L14" si="146">COUNT(I8:I9)</f>
        <v>0</v>
      </c>
      <c r="J14" s="6">
        <f t="shared" si="146"/>
        <v>0</v>
      </c>
      <c r="K14" s="6">
        <f t="shared" si="146"/>
        <v>0</v>
      </c>
      <c r="L14" s="6">
        <f t="shared" si="146"/>
        <v>0</v>
      </c>
      <c r="M14" s="13"/>
      <c r="N14" s="16"/>
      <c r="O14" s="30"/>
      <c r="P14" s="9">
        <f>COUNT(P8:P9)</f>
        <v>0</v>
      </c>
      <c r="Q14" s="5">
        <f t="shared" ref="Q14:T14" si="147">COUNT(Q8:Q9)</f>
        <v>0</v>
      </c>
      <c r="R14" s="5">
        <f t="shared" si="147"/>
        <v>0</v>
      </c>
      <c r="S14" s="5">
        <f t="shared" si="147"/>
        <v>0</v>
      </c>
      <c r="T14" s="5">
        <f t="shared" si="147"/>
        <v>0</v>
      </c>
      <c r="U14" s="8"/>
      <c r="V14" s="10"/>
      <c r="W14" s="37"/>
      <c r="X14" s="14">
        <f>COUNT(X8:X9)</f>
        <v>0</v>
      </c>
      <c r="Y14" s="6">
        <f t="shared" ref="Y14:AB14" si="148">COUNT(Y8:Y9)</f>
        <v>0</v>
      </c>
      <c r="Z14" s="6">
        <f t="shared" si="148"/>
        <v>0</v>
      </c>
      <c r="AA14" s="6">
        <f t="shared" si="148"/>
        <v>0</v>
      </c>
      <c r="AB14" s="6">
        <f t="shared" si="148"/>
        <v>0</v>
      </c>
      <c r="AC14" s="13"/>
      <c r="AD14" s="16"/>
      <c r="AE14" s="30"/>
      <c r="AF14" s="9">
        <f>COUNT(AF8:AF9)</f>
        <v>0</v>
      </c>
      <c r="AG14" s="5">
        <f t="shared" ref="AG14:AJ14" si="149">COUNT(AG8:AG9)</f>
        <v>0</v>
      </c>
      <c r="AH14" s="5">
        <f t="shared" si="149"/>
        <v>0</v>
      </c>
      <c r="AI14" s="5">
        <f t="shared" si="149"/>
        <v>0</v>
      </c>
      <c r="AJ14" s="5">
        <f t="shared" si="149"/>
        <v>0</v>
      </c>
      <c r="AK14" s="8"/>
      <c r="AL14" s="10"/>
      <c r="AM14" s="37"/>
      <c r="AN14" s="14">
        <f>COUNT(AN8:AN9)</f>
        <v>0</v>
      </c>
      <c r="AO14" s="6">
        <f t="shared" ref="AO14:AR14" si="150">COUNT(AO8:AO9)</f>
        <v>0</v>
      </c>
      <c r="AP14" s="6">
        <f t="shared" si="150"/>
        <v>0</v>
      </c>
      <c r="AQ14" s="6">
        <f t="shared" si="150"/>
        <v>0</v>
      </c>
      <c r="AR14" s="6">
        <f t="shared" si="150"/>
        <v>0</v>
      </c>
      <c r="AS14" s="13"/>
      <c r="AT14" s="16"/>
      <c r="AU14" s="30"/>
      <c r="AV14" s="9">
        <f>COUNT(AV8:AV9)</f>
        <v>0</v>
      </c>
      <c r="AW14" s="5">
        <f t="shared" ref="AW14:AZ14" si="151">COUNT(AW8:AW9)</f>
        <v>0</v>
      </c>
      <c r="AX14" s="5">
        <f t="shared" si="151"/>
        <v>0</v>
      </c>
      <c r="AY14" s="5">
        <f t="shared" si="151"/>
        <v>0</v>
      </c>
      <c r="AZ14" s="5">
        <f t="shared" si="151"/>
        <v>0</v>
      </c>
      <c r="BA14" s="8"/>
      <c r="BB14" s="10"/>
      <c r="BC14" s="37"/>
      <c r="BD14" s="14">
        <f>COUNT(BD8:BD9)</f>
        <v>0</v>
      </c>
      <c r="BE14" s="6">
        <f t="shared" ref="BE14:BH14" si="152">COUNT(BE8:BE9)</f>
        <v>0</v>
      </c>
      <c r="BF14" s="6">
        <f t="shared" si="152"/>
        <v>0</v>
      </c>
      <c r="BG14" s="6">
        <f t="shared" si="152"/>
        <v>0</v>
      </c>
      <c r="BH14" s="6">
        <f t="shared" si="152"/>
        <v>0</v>
      </c>
      <c r="BI14" s="13"/>
      <c r="BJ14" s="16"/>
      <c r="BK14" s="30"/>
      <c r="BL14" s="9">
        <f>COUNT(BL8:BL9)</f>
        <v>0</v>
      </c>
      <c r="BM14" s="5">
        <f t="shared" ref="BM14:BP14" si="153">COUNT(BM8:BM9)</f>
        <v>0</v>
      </c>
      <c r="BN14" s="5">
        <f t="shared" si="153"/>
        <v>0</v>
      </c>
      <c r="BO14" s="5">
        <f t="shared" si="153"/>
        <v>0</v>
      </c>
      <c r="BP14" s="5">
        <f t="shared" si="153"/>
        <v>0</v>
      </c>
      <c r="BQ14" s="8"/>
      <c r="BR14" s="10"/>
      <c r="BS14" s="37"/>
      <c r="BT14" s="14">
        <f>COUNT(BT8:BT9)</f>
        <v>0</v>
      </c>
      <c r="BU14" s="6">
        <f t="shared" ref="BU14:BX14" si="154">COUNT(BU8:BU9)</f>
        <v>0</v>
      </c>
      <c r="BV14" s="6">
        <f t="shared" si="154"/>
        <v>0</v>
      </c>
      <c r="BW14" s="6">
        <f t="shared" si="154"/>
        <v>0</v>
      </c>
      <c r="BX14" s="6">
        <f t="shared" si="154"/>
        <v>0</v>
      </c>
      <c r="BY14" s="13"/>
      <c r="BZ14" s="16"/>
      <c r="CA14" s="30"/>
      <c r="CB14" s="14">
        <f>COUNT(CB8:CB9)</f>
        <v>0</v>
      </c>
      <c r="CC14" s="6">
        <f t="shared" ref="CC14:CF14" si="155">COUNT(CC8:CC9)</f>
        <v>0</v>
      </c>
      <c r="CD14" s="6">
        <f t="shared" si="155"/>
        <v>0</v>
      </c>
      <c r="CE14" s="6">
        <f t="shared" si="155"/>
        <v>0</v>
      </c>
      <c r="CF14" s="6">
        <f t="shared" si="155"/>
        <v>0</v>
      </c>
      <c r="CG14" s="13"/>
      <c r="CH14" s="16"/>
      <c r="CI14" s="30"/>
      <c r="CJ14" s="9">
        <f>COUNT(CJ8:CJ9)</f>
        <v>0</v>
      </c>
      <c r="CK14" s="5">
        <f t="shared" ref="CK14:CN14" si="156">COUNT(CK8:CK9)</f>
        <v>0</v>
      </c>
      <c r="CL14" s="5">
        <f t="shared" si="156"/>
        <v>0</v>
      </c>
      <c r="CM14" s="5">
        <f t="shared" si="156"/>
        <v>0</v>
      </c>
      <c r="CN14" s="5">
        <f t="shared" si="156"/>
        <v>0</v>
      </c>
      <c r="CO14" s="8"/>
      <c r="CP14" s="10"/>
      <c r="CQ14" s="37"/>
      <c r="CR14" s="14">
        <f>COUNT(CR8:CR9)</f>
        <v>0</v>
      </c>
      <c r="CS14" s="6">
        <f t="shared" ref="CS14:CV14" si="157">COUNT(CS8:CS9)</f>
        <v>0</v>
      </c>
      <c r="CT14" s="6">
        <f t="shared" si="157"/>
        <v>0</v>
      </c>
      <c r="CU14" s="6">
        <f t="shared" si="157"/>
        <v>0</v>
      </c>
      <c r="CV14" s="6">
        <f t="shared" si="157"/>
        <v>0</v>
      </c>
      <c r="CW14" s="13"/>
      <c r="CX14" s="16"/>
      <c r="CY14" s="30"/>
      <c r="CZ14" s="9">
        <f>COUNT(CZ8:CZ9)</f>
        <v>0</v>
      </c>
      <c r="DA14" s="5">
        <f t="shared" ref="DA14:DD14" si="158">COUNT(DA8:DA9)</f>
        <v>0</v>
      </c>
      <c r="DB14" s="5">
        <f t="shared" si="158"/>
        <v>0</v>
      </c>
      <c r="DC14" s="5">
        <f t="shared" si="158"/>
        <v>0</v>
      </c>
      <c r="DD14" s="5">
        <f t="shared" si="158"/>
        <v>0</v>
      </c>
      <c r="DE14" s="8"/>
      <c r="DF14" s="10"/>
      <c r="DG14" s="37"/>
      <c r="DH14" s="14">
        <f>COUNT(DH8:DH9)</f>
        <v>0</v>
      </c>
      <c r="DI14" s="6">
        <f t="shared" ref="DI14:DL14" si="159">COUNT(DI8:DI9)</f>
        <v>0</v>
      </c>
      <c r="DJ14" s="6">
        <f t="shared" si="159"/>
        <v>0</v>
      </c>
      <c r="DK14" s="6">
        <f t="shared" si="159"/>
        <v>0</v>
      </c>
      <c r="DL14" s="6">
        <f t="shared" si="159"/>
        <v>0</v>
      </c>
      <c r="DM14" s="13"/>
      <c r="DN14" s="118"/>
      <c r="DO14" s="113"/>
    </row>
    <row r="15" spans="1:119" x14ac:dyDescent="0.25">
      <c r="A15" s="113" t="s">
        <v>16</v>
      </c>
      <c r="F15" s="119"/>
      <c r="G15" s="119"/>
      <c r="H15" s="36">
        <f>COUNTIF(H8:H9,1.5)</f>
        <v>0</v>
      </c>
      <c r="I15" s="35">
        <f t="shared" ref="I15:L15" si="160">COUNTIF(I8:I9,1.5)</f>
        <v>0</v>
      </c>
      <c r="J15" s="35">
        <f t="shared" si="160"/>
        <v>0</v>
      </c>
      <c r="K15" s="35">
        <f t="shared" si="160"/>
        <v>0</v>
      </c>
      <c r="L15" s="35">
        <f t="shared" si="160"/>
        <v>0</v>
      </c>
      <c r="M15" s="17"/>
      <c r="N15" s="18"/>
      <c r="O15" s="41"/>
      <c r="P15" s="34">
        <f>COUNTIF(P8:P9,1.5)</f>
        <v>0</v>
      </c>
      <c r="Q15" s="32">
        <f t="shared" ref="Q15:T15" si="161">COUNTIF(Q8:Q9,1.5)</f>
        <v>0</v>
      </c>
      <c r="R15" s="32">
        <f t="shared" si="161"/>
        <v>0</v>
      </c>
      <c r="S15" s="32">
        <f t="shared" si="161"/>
        <v>0</v>
      </c>
      <c r="T15" s="32">
        <f t="shared" si="161"/>
        <v>0</v>
      </c>
      <c r="U15" s="11"/>
      <c r="V15" s="12"/>
      <c r="W15" s="39"/>
      <c r="X15" s="36">
        <f>COUNTIF(X8:X9,1.5)</f>
        <v>0</v>
      </c>
      <c r="Y15" s="35">
        <f t="shared" ref="Y15:AB15" si="162">COUNTIF(Y8:Y9,1.5)</f>
        <v>0</v>
      </c>
      <c r="Z15" s="35">
        <f t="shared" si="162"/>
        <v>0</v>
      </c>
      <c r="AA15" s="35">
        <f t="shared" si="162"/>
        <v>0</v>
      </c>
      <c r="AB15" s="35">
        <f t="shared" si="162"/>
        <v>0</v>
      </c>
      <c r="AC15" s="17"/>
      <c r="AD15" s="18"/>
      <c r="AE15" s="41"/>
      <c r="AF15" s="34">
        <f>COUNTIF(AF8:AF9,1.5)</f>
        <v>0</v>
      </c>
      <c r="AG15" s="32">
        <f t="shared" ref="AG15:AJ15" si="163">COUNTIF(AG8:AG9,1.5)</f>
        <v>0</v>
      </c>
      <c r="AH15" s="32">
        <f t="shared" si="163"/>
        <v>0</v>
      </c>
      <c r="AI15" s="32">
        <f t="shared" si="163"/>
        <v>0</v>
      </c>
      <c r="AJ15" s="32">
        <f t="shared" si="163"/>
        <v>0</v>
      </c>
      <c r="AK15" s="11"/>
      <c r="AL15" s="12"/>
      <c r="AM15" s="39"/>
      <c r="AN15" s="36">
        <f>COUNTIF(AN8:AN9,1.5)</f>
        <v>0</v>
      </c>
      <c r="AO15" s="35">
        <f t="shared" ref="AO15:AR15" si="164">COUNTIF(AO8:AO9,1.5)</f>
        <v>0</v>
      </c>
      <c r="AP15" s="35">
        <f t="shared" si="164"/>
        <v>0</v>
      </c>
      <c r="AQ15" s="35">
        <f t="shared" si="164"/>
        <v>0</v>
      </c>
      <c r="AR15" s="35">
        <f t="shared" si="164"/>
        <v>0</v>
      </c>
      <c r="AS15" s="17"/>
      <c r="AT15" s="18"/>
      <c r="AU15" s="41"/>
      <c r="AV15" s="34">
        <f>COUNTIF(AV8:AV9,1.5)</f>
        <v>0</v>
      </c>
      <c r="AW15" s="32">
        <f t="shared" ref="AW15:AZ15" si="165">COUNTIF(AW8:AW9,1.5)</f>
        <v>0</v>
      </c>
      <c r="AX15" s="32">
        <f t="shared" si="165"/>
        <v>0</v>
      </c>
      <c r="AY15" s="32">
        <f t="shared" si="165"/>
        <v>0</v>
      </c>
      <c r="AZ15" s="32">
        <f t="shared" si="165"/>
        <v>0</v>
      </c>
      <c r="BA15" s="11"/>
      <c r="BB15" s="12"/>
      <c r="BC15" s="39"/>
      <c r="BD15" s="36">
        <f>COUNTIF(BD8:BD9,1.5)</f>
        <v>0</v>
      </c>
      <c r="BE15" s="35">
        <f t="shared" ref="BE15:BH15" si="166">COUNTIF(BE8:BE9,1.5)</f>
        <v>0</v>
      </c>
      <c r="BF15" s="35">
        <f t="shared" si="166"/>
        <v>0</v>
      </c>
      <c r="BG15" s="35">
        <f t="shared" si="166"/>
        <v>0</v>
      </c>
      <c r="BH15" s="35">
        <f t="shared" si="166"/>
        <v>0</v>
      </c>
      <c r="BI15" s="17"/>
      <c r="BJ15" s="18"/>
      <c r="BK15" s="41"/>
      <c r="BL15" s="34">
        <f>COUNTIF(BL8:BL9,1.5)</f>
        <v>0</v>
      </c>
      <c r="BM15" s="32">
        <f t="shared" ref="BM15:BP15" si="167">COUNTIF(BM8:BM9,1.5)</f>
        <v>0</v>
      </c>
      <c r="BN15" s="32">
        <f t="shared" si="167"/>
        <v>0</v>
      </c>
      <c r="BO15" s="32">
        <f t="shared" si="167"/>
        <v>0</v>
      </c>
      <c r="BP15" s="32">
        <f t="shared" si="167"/>
        <v>0</v>
      </c>
      <c r="BQ15" s="11"/>
      <c r="BR15" s="12"/>
      <c r="BS15" s="39"/>
      <c r="BT15" s="36">
        <f>COUNTIF(BT8:BT9,1.5)</f>
        <v>0</v>
      </c>
      <c r="BU15" s="35">
        <f t="shared" ref="BU15:BX15" si="168">COUNTIF(BU8:BU9,1.5)</f>
        <v>0</v>
      </c>
      <c r="BV15" s="35">
        <f t="shared" si="168"/>
        <v>0</v>
      </c>
      <c r="BW15" s="35">
        <f t="shared" si="168"/>
        <v>0</v>
      </c>
      <c r="BX15" s="35">
        <f t="shared" si="168"/>
        <v>0</v>
      </c>
      <c r="BY15" s="17"/>
      <c r="BZ15" s="18"/>
      <c r="CA15" s="41"/>
      <c r="CB15" s="36">
        <f>COUNTIF(CB8:CB9,1.5)</f>
        <v>0</v>
      </c>
      <c r="CC15" s="35">
        <f t="shared" ref="CC15:CF15" si="169">COUNTIF(CC8:CC9,1.5)</f>
        <v>0</v>
      </c>
      <c r="CD15" s="35">
        <f t="shared" si="169"/>
        <v>0</v>
      </c>
      <c r="CE15" s="35">
        <f t="shared" si="169"/>
        <v>0</v>
      </c>
      <c r="CF15" s="35">
        <f t="shared" si="169"/>
        <v>0</v>
      </c>
      <c r="CG15" s="17"/>
      <c r="CH15" s="18"/>
      <c r="CI15" s="41"/>
      <c r="CJ15" s="34">
        <f>COUNTIF(CJ8:CJ9,1.5)</f>
        <v>0</v>
      </c>
      <c r="CK15" s="32">
        <f t="shared" ref="CK15:CN15" si="170">COUNTIF(CK8:CK9,1.5)</f>
        <v>0</v>
      </c>
      <c r="CL15" s="32">
        <f t="shared" si="170"/>
        <v>0</v>
      </c>
      <c r="CM15" s="32">
        <f t="shared" si="170"/>
        <v>0</v>
      </c>
      <c r="CN15" s="32">
        <f t="shared" si="170"/>
        <v>0</v>
      </c>
      <c r="CO15" s="11"/>
      <c r="CP15" s="12"/>
      <c r="CQ15" s="39"/>
      <c r="CR15" s="36">
        <f>COUNTIF(CR8:CR9,1.5)</f>
        <v>0</v>
      </c>
      <c r="CS15" s="35">
        <f t="shared" ref="CS15:CV15" si="171">COUNTIF(CS8:CS9,1.5)</f>
        <v>0</v>
      </c>
      <c r="CT15" s="35">
        <f t="shared" si="171"/>
        <v>0</v>
      </c>
      <c r="CU15" s="35">
        <f t="shared" si="171"/>
        <v>0</v>
      </c>
      <c r="CV15" s="35">
        <f t="shared" si="171"/>
        <v>0</v>
      </c>
      <c r="CW15" s="17"/>
      <c r="CX15" s="18"/>
      <c r="CY15" s="41"/>
      <c r="CZ15" s="34">
        <f>COUNTIF(CZ8:CZ9,1.5)</f>
        <v>0</v>
      </c>
      <c r="DA15" s="32">
        <f t="shared" ref="DA15:DD15" si="172">COUNTIF(DA8:DA9,1.5)</f>
        <v>0</v>
      </c>
      <c r="DB15" s="32">
        <f t="shared" si="172"/>
        <v>0</v>
      </c>
      <c r="DC15" s="32">
        <f t="shared" si="172"/>
        <v>0</v>
      </c>
      <c r="DD15" s="32">
        <f t="shared" si="172"/>
        <v>0</v>
      </c>
      <c r="DE15" s="11"/>
      <c r="DF15" s="12"/>
      <c r="DG15" s="39"/>
      <c r="DH15" s="36">
        <f>COUNTIF(DH8:DH9,1.5)</f>
        <v>0</v>
      </c>
      <c r="DI15" s="35">
        <f t="shared" ref="DI15:DL15" si="173">COUNTIF(DI8:DI9,1.5)</f>
        <v>0</v>
      </c>
      <c r="DJ15" s="35">
        <f t="shared" si="173"/>
        <v>0</v>
      </c>
      <c r="DK15" s="35">
        <f t="shared" si="173"/>
        <v>0</v>
      </c>
      <c r="DL15" s="35">
        <f t="shared" si="173"/>
        <v>0</v>
      </c>
      <c r="DM15" s="17"/>
      <c r="DN15" s="18"/>
      <c r="DO15" s="41"/>
    </row>
    <row r="16" spans="1:119" ht="13" thickBot="1" x14ac:dyDescent="0.3">
      <c r="A16" s="122"/>
      <c r="B16" s="123"/>
      <c r="C16" s="123"/>
      <c r="D16" s="123"/>
      <c r="E16" s="123"/>
      <c r="F16" s="124"/>
      <c r="G16" s="119"/>
      <c r="H16" s="125"/>
      <c r="I16" s="126"/>
      <c r="J16" s="126"/>
      <c r="K16" s="126"/>
      <c r="L16" s="126"/>
      <c r="M16" s="126"/>
      <c r="N16" s="127"/>
      <c r="O16" s="120"/>
      <c r="P16" s="128"/>
      <c r="Q16" s="129"/>
      <c r="R16" s="129"/>
      <c r="S16" s="129"/>
      <c r="T16" s="129"/>
      <c r="U16" s="129"/>
      <c r="V16" s="130"/>
      <c r="W16" s="121"/>
      <c r="X16" s="131"/>
      <c r="Y16" s="126"/>
      <c r="Z16" s="126"/>
      <c r="AA16" s="126"/>
      <c r="AB16" s="126"/>
      <c r="AC16" s="126"/>
      <c r="AD16" s="127"/>
      <c r="AE16" s="120"/>
      <c r="AF16" s="128"/>
      <c r="AG16" s="129"/>
      <c r="AH16" s="129"/>
      <c r="AI16" s="129"/>
      <c r="AJ16" s="129"/>
      <c r="AK16" s="129"/>
      <c r="AL16" s="130"/>
      <c r="AM16" s="121"/>
      <c r="AN16" s="131"/>
      <c r="AO16" s="126"/>
      <c r="AP16" s="126"/>
      <c r="AQ16" s="126"/>
      <c r="AR16" s="126"/>
      <c r="AS16" s="126"/>
      <c r="AT16" s="127"/>
      <c r="AU16" s="120"/>
      <c r="AV16" s="128"/>
      <c r="AW16" s="129"/>
      <c r="AX16" s="129"/>
      <c r="AY16" s="129"/>
      <c r="AZ16" s="129"/>
      <c r="BA16" s="129"/>
      <c r="BB16" s="130"/>
      <c r="BC16" s="121"/>
      <c r="BD16" s="131"/>
      <c r="BE16" s="126"/>
      <c r="BF16" s="126"/>
      <c r="BG16" s="126"/>
      <c r="BH16" s="126"/>
      <c r="BI16" s="126"/>
      <c r="BJ16" s="127"/>
      <c r="BK16" s="120"/>
      <c r="BL16" s="128"/>
      <c r="BM16" s="129"/>
      <c r="BN16" s="129"/>
      <c r="BO16" s="129"/>
      <c r="BP16" s="129"/>
      <c r="BQ16" s="129"/>
      <c r="BR16" s="130"/>
      <c r="BS16" s="121"/>
      <c r="BT16" s="131"/>
      <c r="BU16" s="126"/>
      <c r="BV16" s="126"/>
      <c r="BW16" s="126"/>
      <c r="BX16" s="126"/>
      <c r="BY16" s="126"/>
      <c r="BZ16" s="127"/>
      <c r="CA16" s="120"/>
      <c r="CB16" s="131"/>
      <c r="CC16" s="126"/>
      <c r="CD16" s="126"/>
      <c r="CE16" s="126"/>
      <c r="CF16" s="126"/>
      <c r="CG16" s="126"/>
      <c r="CH16" s="127"/>
      <c r="CI16" s="120"/>
      <c r="CJ16" s="128"/>
      <c r="CK16" s="129"/>
      <c r="CL16" s="129"/>
      <c r="CM16" s="129"/>
      <c r="CN16" s="129"/>
      <c r="CO16" s="129"/>
      <c r="CP16" s="130"/>
      <c r="CQ16" s="121"/>
      <c r="CR16" s="131"/>
      <c r="CS16" s="126"/>
      <c r="CT16" s="126"/>
      <c r="CU16" s="126"/>
      <c r="CV16" s="126"/>
      <c r="CW16" s="126"/>
      <c r="CX16" s="127"/>
      <c r="CY16" s="120"/>
      <c r="CZ16" s="128"/>
      <c r="DA16" s="129"/>
      <c r="DB16" s="129"/>
      <c r="DC16" s="129"/>
      <c r="DD16" s="129"/>
      <c r="DE16" s="129"/>
      <c r="DF16" s="130"/>
      <c r="DG16" s="121"/>
      <c r="DH16" s="131"/>
      <c r="DI16" s="126"/>
      <c r="DJ16" s="126"/>
      <c r="DK16" s="126"/>
      <c r="DL16" s="126"/>
      <c r="DM16" s="126"/>
      <c r="DN16" s="127"/>
      <c r="DO16" s="120"/>
    </row>
  </sheetData>
  <sheetProtection formatCells="0" formatColumns="0" formatRows="0" insertRows="0" insertHyperlinks="0" sort="0"/>
  <mergeCells count="14">
    <mergeCell ref="AV4:BB4"/>
    <mergeCell ref="H4:N4"/>
    <mergeCell ref="P4:V4"/>
    <mergeCell ref="X4:AD4"/>
    <mergeCell ref="AF4:AL4"/>
    <mergeCell ref="AN4:AT4"/>
    <mergeCell ref="DH4:DN4"/>
    <mergeCell ref="BD4:BJ4"/>
    <mergeCell ref="BL4:BR4"/>
    <mergeCell ref="BT4:BZ4"/>
    <mergeCell ref="CJ4:CP4"/>
    <mergeCell ref="CR4:CX4"/>
    <mergeCell ref="CZ4:DF4"/>
    <mergeCell ref="CB4:CH4"/>
  </mergeCells>
  <conditionalFormatting sqref="H8:DO9">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C8 U8 U9:W9 V8:W8 AS8:AU9 AC9 AC8 BI8:BK9 BY8:CA9 CW8:CY9 DM8:DM9 CG8:CI9"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election activeCell="AB7" sqref="AB7"/>
    </sheetView>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99"/>
      <c r="B4" s="200"/>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election activeCell="AB7" sqref="AB7"/>
    </sheetView>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election activeCell="X20" sqref="X20"/>
    </sheetView>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851A6FD6-925E-415C-9BDC-F1F22E51EC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2024-11-03T14:27:20Z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