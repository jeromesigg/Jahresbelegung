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checkCompatibility="1"/>
  <mc:AlternateContent xmlns:mc="http://schemas.openxmlformats.org/markup-compatibility/2006">
    <mc:Choice Requires="x15">
      <x15ac:absPath xmlns:x15ac="http://schemas.microsoft.com/office/spreadsheetml/2010/11/ac" url="C:\Users\Jerome\Documents\Word-Dokumente\Freizeit\Programmieren\15_Programming\VBA\Jahresbelegung\"/>
    </mc:Choice>
  </mc:AlternateContent>
  <xr:revisionPtr revIDLastSave="0" documentId="13_ncr:1_{3D4FE92D-81FE-46DE-8401-ED668B24148E}" xr6:coauthVersionLast="47" xr6:coauthVersionMax="47" xr10:uidLastSave="{00000000-0000-0000-0000-000000000000}"/>
  <bookViews>
    <workbookView xWindow="-110" yWindow="-110" windowWidth="38620" windowHeight="21220" xr2:uid="{FD03ACDB-F39C-4B1E-A081-591F7AE69B34}"/>
  </bookViews>
  <sheets>
    <sheet name="Übersicht" sheetId="16" r:id="rId1"/>
    <sheet name="Vorlage_Total Auslastung" sheetId="6" state="hidden" r:id="rId2"/>
    <sheet name="Vorlage_Gruppen_bkp" sheetId="14" state="hidden" r:id="rId3"/>
    <sheet name="Vorlage_Gruppen" sheetId="15" state="hidden" r:id="rId4"/>
    <sheet name="Vorlage_Mutationen für Gruppen" sheetId="24" state="hidden" r:id="rId5"/>
    <sheet name="Vorlage_Mutationen" sheetId="9" state="hidden" r:id="rId6"/>
    <sheet name="Vorlage_Wünsche Eltern" sheetId="7" state="hidden" r:id="rId7"/>
  </sheets>
  <functionGroups builtInGroupCount="19"/>
  <definedNames>
    <definedName name="_xlnm.Print_Area" localSheetId="3">Vorlage_Gruppen!$A$1:$S$14</definedName>
    <definedName name="_xlnm.Print_Area" localSheetId="2">Vorlage_Gruppen_bkp!$A$1:$S$40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6" l="1"/>
  <c r="J35" i="6"/>
  <c r="J34" i="6"/>
  <c r="F36" i="6"/>
  <c r="J28" i="6"/>
  <c r="J27" i="6"/>
  <c r="J26" i="6"/>
  <c r="J20" i="6"/>
  <c r="J12" i="6"/>
  <c r="F28" i="6"/>
  <c r="F26" i="6"/>
  <c r="G26" i="6" s="1"/>
  <c r="G28" i="6" s="1"/>
  <c r="F20" i="6"/>
  <c r="F12" i="6"/>
  <c r="B36" i="6"/>
  <c r="B28" i="6"/>
  <c r="B20" i="6"/>
  <c r="B12" i="6"/>
  <c r="F27" i="6"/>
  <c r="J19" i="6"/>
  <c r="J18" i="6"/>
  <c r="F11" i="6"/>
  <c r="F10" i="6"/>
  <c r="G10" i="6" s="1"/>
  <c r="F35" i="6"/>
  <c r="G35" i="6" s="1"/>
  <c r="F34" i="6"/>
  <c r="F19" i="6"/>
  <c r="F18" i="6"/>
  <c r="J11" i="6"/>
  <c r="J10" i="6"/>
  <c r="K10" i="6" s="1"/>
  <c r="G11" i="6"/>
  <c r="B35" i="6"/>
  <c r="B34" i="6"/>
  <c r="B27" i="6"/>
  <c r="B26" i="6"/>
  <c r="B19" i="6"/>
  <c r="B18" i="6"/>
  <c r="B11" i="6"/>
  <c r="B10" i="6"/>
  <c r="K35" i="6"/>
  <c r="K34" i="6"/>
  <c r="K27" i="6"/>
  <c r="K26" i="6"/>
  <c r="K19" i="6"/>
  <c r="K18" i="6"/>
  <c r="K11" i="6"/>
  <c r="G34" i="6"/>
  <c r="G27" i="6"/>
  <c r="G19" i="6"/>
  <c r="G18" i="6"/>
  <c r="S7" i="15"/>
  <c r="AA7" i="15" s="1"/>
  <c r="AI7" i="15" s="1"/>
  <c r="AQ7" i="15" s="1"/>
  <c r="AY7" i="15" s="1"/>
  <c r="BG7" i="15" s="1"/>
  <c r="BO7" i="15" s="1"/>
  <c r="BW7" i="15" s="1"/>
  <c r="CE7" i="15" s="1"/>
  <c r="CM7" i="15" s="1"/>
  <c r="CU7" i="15" s="1"/>
  <c r="DC7" i="15" s="1"/>
  <c r="DK7" i="15" s="1"/>
  <c r="S8" i="15"/>
  <c r="AA8" i="15" s="1"/>
  <c r="AI8" i="15" s="1"/>
  <c r="AQ8" i="15" s="1"/>
  <c r="AY8" i="15" s="1"/>
  <c r="BG8" i="15" s="1"/>
  <c r="BO8" i="15" s="1"/>
  <c r="BW8" i="15" s="1"/>
  <c r="CE8" i="15" s="1"/>
  <c r="CM8" i="15" s="1"/>
  <c r="CU8" i="15" s="1"/>
  <c r="DC8" i="15" s="1"/>
  <c r="DK8" i="15" s="1"/>
  <c r="BZ8" i="15"/>
  <c r="BZ7" i="15"/>
  <c r="CD10" i="15"/>
  <c r="CC10" i="15"/>
  <c r="CB10" i="15"/>
  <c r="CA10" i="15"/>
  <c r="BZ10" i="15"/>
  <c r="DJ10" i="15"/>
  <c r="DI10" i="15"/>
  <c r="DH10" i="15"/>
  <c r="DG10" i="15"/>
  <c r="DB10" i="15"/>
  <c r="DA10" i="15"/>
  <c r="CZ10" i="15"/>
  <c r="CY10" i="15"/>
  <c r="CT10" i="15"/>
  <c r="CS10" i="15"/>
  <c r="CR10" i="15"/>
  <c r="CQ10" i="15"/>
  <c r="CL10" i="15"/>
  <c r="CK10" i="15"/>
  <c r="CJ10" i="15"/>
  <c r="CI10" i="15"/>
  <c r="BV10" i="15"/>
  <c r="BU10" i="15"/>
  <c r="BT10" i="15"/>
  <c r="BS10" i="15"/>
  <c r="BR10" i="15"/>
  <c r="BN10" i="15"/>
  <c r="BM10" i="15"/>
  <c r="BL10" i="15"/>
  <c r="BK10" i="15"/>
  <c r="BJ10" i="15"/>
  <c r="BO10" i="15" s="1"/>
  <c r="BF10" i="15"/>
  <c r="BE10" i="15"/>
  <c r="BD10" i="15"/>
  <c r="BC10" i="15"/>
  <c r="BB10" i="15"/>
  <c r="AX10" i="15"/>
  <c r="AW10" i="15"/>
  <c r="AV10" i="15"/>
  <c r="AU10" i="15"/>
  <c r="AT10" i="15"/>
  <c r="AY10" i="15" s="1"/>
  <c r="AP10" i="15"/>
  <c r="AO10" i="15"/>
  <c r="AN10" i="15"/>
  <c r="AM10" i="15"/>
  <c r="AL10" i="15"/>
  <c r="AH10" i="15"/>
  <c r="AG10" i="15"/>
  <c r="AF10" i="15"/>
  <c r="AE10" i="15"/>
  <c r="AD10" i="15"/>
  <c r="AI10" i="15" s="1"/>
  <c r="R10" i="15"/>
  <c r="Q10" i="15"/>
  <c r="P10" i="15"/>
  <c r="O10" i="15"/>
  <c r="N10" i="15"/>
  <c r="Z10" i="15"/>
  <c r="Y10" i="15"/>
  <c r="X10" i="15"/>
  <c r="W10" i="15"/>
  <c r="V10" i="15"/>
  <c r="G10" i="15"/>
  <c r="H10" i="15"/>
  <c r="I10" i="15"/>
  <c r="J10" i="15"/>
  <c r="K10" i="15"/>
  <c r="F10" i="15"/>
  <c r="DJ8" i="15"/>
  <c r="DI8" i="15"/>
  <c r="DH8" i="15"/>
  <c r="DG8" i="15"/>
  <c r="DB8" i="15"/>
  <c r="DA8" i="15"/>
  <c r="CZ8" i="15"/>
  <c r="CY8" i="15"/>
  <c r="CT8" i="15"/>
  <c r="CS8" i="15"/>
  <c r="CR8" i="15"/>
  <c r="CQ8" i="15"/>
  <c r="CL8" i="15"/>
  <c r="CK8" i="15"/>
  <c r="CJ8" i="15"/>
  <c r="CI8" i="15"/>
  <c r="CH8" i="15"/>
  <c r="CP8" i="15" s="1"/>
  <c r="CX8" i="15" s="1"/>
  <c r="DF8" i="15" s="1"/>
  <c r="CF8" i="15"/>
  <c r="CD8" i="15"/>
  <c r="CC8" i="15"/>
  <c r="CB8" i="15"/>
  <c r="CA8" i="15"/>
  <c r="BV8" i="15"/>
  <c r="BU8" i="15"/>
  <c r="BT8" i="15"/>
  <c r="BS8" i="15"/>
  <c r="BR8" i="15"/>
  <c r="BN8" i="15"/>
  <c r="BM8" i="15"/>
  <c r="BL8" i="15"/>
  <c r="BK8" i="15"/>
  <c r="BJ8" i="15"/>
  <c r="BF8" i="15"/>
  <c r="BE8" i="15"/>
  <c r="BD8" i="15"/>
  <c r="BC8" i="15"/>
  <c r="BB8" i="15"/>
  <c r="AX8" i="15"/>
  <c r="AW8" i="15"/>
  <c r="AV8" i="15"/>
  <c r="AU8" i="15"/>
  <c r="AT8" i="15"/>
  <c r="AP8" i="15"/>
  <c r="AO8" i="15"/>
  <c r="AN8" i="15"/>
  <c r="AM8" i="15"/>
  <c r="AL8" i="15"/>
  <c r="AH8" i="15"/>
  <c r="AG8" i="15"/>
  <c r="AF8" i="15"/>
  <c r="AE8" i="15"/>
  <c r="AD8" i="15"/>
  <c r="Z8" i="15"/>
  <c r="Y8" i="15"/>
  <c r="X8" i="15"/>
  <c r="W8" i="15"/>
  <c r="V8" i="15"/>
  <c r="R8" i="15"/>
  <c r="Q8" i="15"/>
  <c r="P8" i="15"/>
  <c r="O8" i="15"/>
  <c r="N8" i="15"/>
  <c r="C8" i="15"/>
  <c r="CF7" i="15"/>
  <c r="CH7" i="15"/>
  <c r="CH10" i="15" s="1"/>
  <c r="CM10" i="15" s="1"/>
  <c r="R7" i="15"/>
  <c r="Z7" i="15" s="1"/>
  <c r="Q7" i="15"/>
  <c r="Y7" i="15" s="1"/>
  <c r="P7" i="15"/>
  <c r="O7" i="15"/>
  <c r="N7" i="15"/>
  <c r="C7" i="15"/>
  <c r="CA3" i="15"/>
  <c r="BZ14" i="15"/>
  <c r="BZ13" i="15"/>
  <c r="CD11" i="15"/>
  <c r="CC11" i="15"/>
  <c r="CB11" i="15"/>
  <c r="CA11" i="15"/>
  <c r="BZ11" i="15"/>
  <c r="CE11" i="15" s="1"/>
  <c r="A3" i="15"/>
  <c r="BZ4" i="15" s="1"/>
  <c r="G14" i="15"/>
  <c r="H14" i="15"/>
  <c r="I14" i="15"/>
  <c r="J14" i="15"/>
  <c r="F14" i="15"/>
  <c r="DJ11" i="15"/>
  <c r="DI11" i="15"/>
  <c r="DH11" i="15"/>
  <c r="DG11" i="15"/>
  <c r="DF11" i="15"/>
  <c r="CT11" i="15"/>
  <c r="CS11" i="15"/>
  <c r="CR11" i="15"/>
  <c r="CQ11" i="15"/>
  <c r="CP11" i="15"/>
  <c r="DB11" i="15"/>
  <c r="DA11" i="15"/>
  <c r="CZ11" i="15"/>
  <c r="CY11" i="15"/>
  <c r="CX11" i="15"/>
  <c r="CL11" i="15"/>
  <c r="CK11" i="15"/>
  <c r="CJ11" i="15"/>
  <c r="CI11" i="15"/>
  <c r="CH11" i="15"/>
  <c r="BN11" i="15"/>
  <c r="BM11" i="15"/>
  <c r="BL11" i="15"/>
  <c r="BK11" i="15"/>
  <c r="BJ11" i="15"/>
  <c r="AX11" i="15"/>
  <c r="AW11" i="15"/>
  <c r="AV11" i="15"/>
  <c r="AU11" i="15"/>
  <c r="AT11" i="15"/>
  <c r="AH11" i="15"/>
  <c r="AG11" i="15"/>
  <c r="AF11" i="15"/>
  <c r="AE11" i="15"/>
  <c r="AD11" i="15"/>
  <c r="R11" i="15"/>
  <c r="Q11" i="15"/>
  <c r="P11" i="15"/>
  <c r="O11" i="15"/>
  <c r="N11" i="15"/>
  <c r="BV11" i="15"/>
  <c r="BU11" i="15"/>
  <c r="BT11" i="15"/>
  <c r="BS11" i="15"/>
  <c r="BR11" i="15"/>
  <c r="BF11" i="15"/>
  <c r="BE11" i="15"/>
  <c r="BD11" i="15"/>
  <c r="BC11" i="15"/>
  <c r="BB11" i="15"/>
  <c r="AP11" i="15"/>
  <c r="AO11" i="15"/>
  <c r="AN11" i="15"/>
  <c r="AM11" i="15"/>
  <c r="AL11" i="15"/>
  <c r="Z11" i="15"/>
  <c r="Y11" i="15"/>
  <c r="X11" i="15"/>
  <c r="W11" i="15"/>
  <c r="V11" i="15"/>
  <c r="J13" i="15"/>
  <c r="I13" i="15"/>
  <c r="H13" i="15"/>
  <c r="G13" i="15"/>
  <c r="F13" i="15"/>
  <c r="J11" i="15"/>
  <c r="I11" i="15"/>
  <c r="H11" i="15"/>
  <c r="G11" i="15"/>
  <c r="F11" i="15"/>
  <c r="A31" i="6"/>
  <c r="A23" i="6"/>
  <c r="A15" i="6"/>
  <c r="A6" i="6"/>
  <c r="CT40" i="14"/>
  <c r="CD40" i="14"/>
  <c r="BN40" i="14"/>
  <c r="AX40" i="14"/>
  <c r="AH40" i="14"/>
  <c r="R40" i="14"/>
  <c r="J40" i="14"/>
  <c r="I40" i="14"/>
  <c r="J39" i="14"/>
  <c r="I39" i="14"/>
  <c r="H39" i="14"/>
  <c r="G39" i="14"/>
  <c r="F39" i="14"/>
  <c r="DC37" i="14"/>
  <c r="CU37" i="14"/>
  <c r="CM37" i="14"/>
  <c r="CE37" i="14"/>
  <c r="BW37" i="14"/>
  <c r="BO37" i="14"/>
  <c r="BG37" i="14"/>
  <c r="AY37" i="14"/>
  <c r="AQ37" i="14"/>
  <c r="AI37" i="14"/>
  <c r="AA37" i="14"/>
  <c r="S37" i="14"/>
  <c r="J37" i="14"/>
  <c r="I37" i="14"/>
  <c r="H37" i="14"/>
  <c r="G37" i="14"/>
  <c r="K37" i="14" s="1"/>
  <c r="F37" i="14"/>
  <c r="J36" i="14"/>
  <c r="J38" i="14" s="1"/>
  <c r="I36" i="14"/>
  <c r="H36" i="14"/>
  <c r="H38" i="14" s="1"/>
  <c r="G36" i="14"/>
  <c r="F36" i="14"/>
  <c r="F38" i="14" s="1"/>
  <c r="R34" i="14"/>
  <c r="Z34" i="14" s="1"/>
  <c r="AH34" i="14" s="1"/>
  <c r="AP34" i="14" s="1"/>
  <c r="AX34" i="14" s="1"/>
  <c r="BF34" i="14" s="1"/>
  <c r="BN34" i="14" s="1"/>
  <c r="BV34" i="14" s="1"/>
  <c r="CD34" i="14" s="1"/>
  <c r="CL34" i="14" s="1"/>
  <c r="CT34" i="14" s="1"/>
  <c r="DB34" i="14" s="1"/>
  <c r="Q34" i="14"/>
  <c r="Y34" i="14" s="1"/>
  <c r="AG34" i="14" s="1"/>
  <c r="AO34" i="14" s="1"/>
  <c r="AW34" i="14" s="1"/>
  <c r="BE34" i="14" s="1"/>
  <c r="BM34" i="14" s="1"/>
  <c r="BU34" i="14" s="1"/>
  <c r="CC34" i="14" s="1"/>
  <c r="CK34" i="14" s="1"/>
  <c r="CS34" i="14" s="1"/>
  <c r="DA34" i="14" s="1"/>
  <c r="P34" i="14"/>
  <c r="X34" i="14" s="1"/>
  <c r="AF34" i="14" s="1"/>
  <c r="AN34" i="14" s="1"/>
  <c r="AV34" i="14" s="1"/>
  <c r="BD34" i="14" s="1"/>
  <c r="BL34" i="14" s="1"/>
  <c r="BT34" i="14" s="1"/>
  <c r="CB34" i="14" s="1"/>
  <c r="CJ34" i="14" s="1"/>
  <c r="CR34" i="14" s="1"/>
  <c r="CZ34" i="14" s="1"/>
  <c r="O34" i="14"/>
  <c r="W34" i="14" s="1"/>
  <c r="AE34" i="14" s="1"/>
  <c r="AM34" i="14" s="1"/>
  <c r="AU34" i="14" s="1"/>
  <c r="BC34" i="14" s="1"/>
  <c r="BK34" i="14" s="1"/>
  <c r="BS34" i="14" s="1"/>
  <c r="CA34" i="14" s="1"/>
  <c r="CI34" i="14" s="1"/>
  <c r="CQ34" i="14" s="1"/>
  <c r="CY34" i="14" s="1"/>
  <c r="N34" i="14"/>
  <c r="V34" i="14" s="1"/>
  <c r="AD34" i="14" s="1"/>
  <c r="AL34" i="14" s="1"/>
  <c r="AT34" i="14" s="1"/>
  <c r="BB34" i="14" s="1"/>
  <c r="BJ34" i="14" s="1"/>
  <c r="BR34" i="14" s="1"/>
  <c r="BZ34" i="14" s="1"/>
  <c r="CH34" i="14" s="1"/>
  <c r="CP34" i="14" s="1"/>
  <c r="CX34" i="14" s="1"/>
  <c r="Y33" i="14"/>
  <c r="AG33" i="14" s="1"/>
  <c r="AO33" i="14" s="1"/>
  <c r="AW33" i="14" s="1"/>
  <c r="BE33" i="14" s="1"/>
  <c r="BM33" i="14" s="1"/>
  <c r="BU33" i="14" s="1"/>
  <c r="CC33" i="14" s="1"/>
  <c r="CK33" i="14" s="1"/>
  <c r="CS33" i="14" s="1"/>
  <c r="DA33" i="14" s="1"/>
  <c r="W33" i="14"/>
  <c r="AE33" i="14" s="1"/>
  <c r="AM33" i="14" s="1"/>
  <c r="AU33" i="14" s="1"/>
  <c r="BC33" i="14" s="1"/>
  <c r="BK33" i="14" s="1"/>
  <c r="BS33" i="14" s="1"/>
  <c r="CA33" i="14" s="1"/>
  <c r="CI33" i="14" s="1"/>
  <c r="CQ33" i="14" s="1"/>
  <c r="CY33" i="14" s="1"/>
  <c r="R33" i="14"/>
  <c r="Z33" i="14" s="1"/>
  <c r="AH33" i="14" s="1"/>
  <c r="AP33" i="14" s="1"/>
  <c r="AX33" i="14" s="1"/>
  <c r="BF33" i="14" s="1"/>
  <c r="BN33" i="14" s="1"/>
  <c r="BV33" i="14" s="1"/>
  <c r="CD33" i="14" s="1"/>
  <c r="CL33" i="14" s="1"/>
  <c r="CT33" i="14" s="1"/>
  <c r="DB33" i="14" s="1"/>
  <c r="Q33" i="14"/>
  <c r="P33" i="14"/>
  <c r="X33" i="14" s="1"/>
  <c r="AF33" i="14" s="1"/>
  <c r="AN33" i="14" s="1"/>
  <c r="AV33" i="14" s="1"/>
  <c r="BD33" i="14" s="1"/>
  <c r="BL33" i="14" s="1"/>
  <c r="BT33" i="14" s="1"/>
  <c r="CB33" i="14" s="1"/>
  <c r="CJ33" i="14" s="1"/>
  <c r="CR33" i="14" s="1"/>
  <c r="CZ33" i="14" s="1"/>
  <c r="O33" i="14"/>
  <c r="N33" i="14"/>
  <c r="V33" i="14" s="1"/>
  <c r="AD33" i="14" s="1"/>
  <c r="AL33" i="14" s="1"/>
  <c r="AT33" i="14" s="1"/>
  <c r="BB33" i="14" s="1"/>
  <c r="BJ33" i="14" s="1"/>
  <c r="BR33" i="14" s="1"/>
  <c r="BZ33" i="14" s="1"/>
  <c r="CH33" i="14" s="1"/>
  <c r="CP33" i="14" s="1"/>
  <c r="CX33" i="14" s="1"/>
  <c r="C33" i="14"/>
  <c r="X32" i="14"/>
  <c r="AF32" i="14" s="1"/>
  <c r="AN32" i="14" s="1"/>
  <c r="AV32" i="14" s="1"/>
  <c r="BD32" i="14" s="1"/>
  <c r="BL32" i="14" s="1"/>
  <c r="BT32" i="14" s="1"/>
  <c r="CB32" i="14" s="1"/>
  <c r="CJ32" i="14" s="1"/>
  <c r="CR32" i="14" s="1"/>
  <c r="CZ32" i="14" s="1"/>
  <c r="R32" i="14"/>
  <c r="Z32" i="14" s="1"/>
  <c r="AH32" i="14" s="1"/>
  <c r="AP32" i="14" s="1"/>
  <c r="AX32" i="14" s="1"/>
  <c r="BF32" i="14" s="1"/>
  <c r="BN32" i="14" s="1"/>
  <c r="BV32" i="14" s="1"/>
  <c r="CD32" i="14" s="1"/>
  <c r="CL32" i="14" s="1"/>
  <c r="CT32" i="14" s="1"/>
  <c r="DB32" i="14" s="1"/>
  <c r="Q32" i="14"/>
  <c r="Y32" i="14" s="1"/>
  <c r="AG32" i="14" s="1"/>
  <c r="AO32" i="14" s="1"/>
  <c r="AW32" i="14" s="1"/>
  <c r="BE32" i="14" s="1"/>
  <c r="BM32" i="14" s="1"/>
  <c r="BU32" i="14" s="1"/>
  <c r="CC32" i="14" s="1"/>
  <c r="CK32" i="14" s="1"/>
  <c r="CS32" i="14" s="1"/>
  <c r="DA32" i="14" s="1"/>
  <c r="P32" i="14"/>
  <c r="O32" i="14"/>
  <c r="W32" i="14" s="1"/>
  <c r="AE32" i="14" s="1"/>
  <c r="AM32" i="14" s="1"/>
  <c r="AU32" i="14" s="1"/>
  <c r="BC32" i="14" s="1"/>
  <c r="BK32" i="14" s="1"/>
  <c r="BS32" i="14" s="1"/>
  <c r="CA32" i="14" s="1"/>
  <c r="CI32" i="14" s="1"/>
  <c r="CQ32" i="14" s="1"/>
  <c r="CY32" i="14" s="1"/>
  <c r="N32" i="14"/>
  <c r="V32" i="14" s="1"/>
  <c r="AD32" i="14" s="1"/>
  <c r="AL32" i="14" s="1"/>
  <c r="AT32" i="14" s="1"/>
  <c r="BB32" i="14" s="1"/>
  <c r="BJ32" i="14" s="1"/>
  <c r="BR32" i="14" s="1"/>
  <c r="BZ32" i="14" s="1"/>
  <c r="CH32" i="14" s="1"/>
  <c r="CP32" i="14" s="1"/>
  <c r="CX32" i="14" s="1"/>
  <c r="C32" i="14"/>
  <c r="AH31" i="14"/>
  <c r="AP31" i="14" s="1"/>
  <c r="AX31" i="14" s="1"/>
  <c r="BF31" i="14" s="1"/>
  <c r="BN31" i="14" s="1"/>
  <c r="BV31" i="14" s="1"/>
  <c r="CD31" i="14" s="1"/>
  <c r="CL31" i="14" s="1"/>
  <c r="CT31" i="14" s="1"/>
  <c r="DB31" i="14" s="1"/>
  <c r="R31" i="14"/>
  <c r="Z31" i="14" s="1"/>
  <c r="Q31" i="14"/>
  <c r="Y31" i="14" s="1"/>
  <c r="AG31" i="14" s="1"/>
  <c r="AO31" i="14" s="1"/>
  <c r="AW31" i="14" s="1"/>
  <c r="BE31" i="14" s="1"/>
  <c r="BM31" i="14" s="1"/>
  <c r="BU31" i="14" s="1"/>
  <c r="CC31" i="14" s="1"/>
  <c r="CK31" i="14" s="1"/>
  <c r="CS31" i="14" s="1"/>
  <c r="DA31" i="14" s="1"/>
  <c r="P31" i="14"/>
  <c r="X31" i="14" s="1"/>
  <c r="AF31" i="14" s="1"/>
  <c r="AN31" i="14" s="1"/>
  <c r="AV31" i="14" s="1"/>
  <c r="BD31" i="14" s="1"/>
  <c r="BL31" i="14" s="1"/>
  <c r="BT31" i="14" s="1"/>
  <c r="CB31" i="14" s="1"/>
  <c r="CJ31" i="14" s="1"/>
  <c r="CR31" i="14" s="1"/>
  <c r="CZ31" i="14" s="1"/>
  <c r="O31" i="14"/>
  <c r="W31" i="14" s="1"/>
  <c r="AE31" i="14" s="1"/>
  <c r="AM31" i="14" s="1"/>
  <c r="AU31" i="14" s="1"/>
  <c r="BC31" i="14" s="1"/>
  <c r="BK31" i="14" s="1"/>
  <c r="BS31" i="14" s="1"/>
  <c r="CA31" i="14" s="1"/>
  <c r="CI31" i="14" s="1"/>
  <c r="CQ31" i="14" s="1"/>
  <c r="CY31" i="14" s="1"/>
  <c r="N31" i="14"/>
  <c r="V31" i="14" s="1"/>
  <c r="AD31" i="14" s="1"/>
  <c r="AL31" i="14" s="1"/>
  <c r="AT31" i="14" s="1"/>
  <c r="BB31" i="14" s="1"/>
  <c r="BJ31" i="14" s="1"/>
  <c r="BR31" i="14" s="1"/>
  <c r="BZ31" i="14" s="1"/>
  <c r="CH31" i="14" s="1"/>
  <c r="CP31" i="14" s="1"/>
  <c r="CX31" i="14" s="1"/>
  <c r="C31" i="14"/>
  <c r="AF30" i="14"/>
  <c r="AN30" i="14" s="1"/>
  <c r="AV30" i="14" s="1"/>
  <c r="BD30" i="14" s="1"/>
  <c r="BL30" i="14" s="1"/>
  <c r="BT30" i="14" s="1"/>
  <c r="CB30" i="14" s="1"/>
  <c r="CJ30" i="14" s="1"/>
  <c r="CR30" i="14" s="1"/>
  <c r="CZ30" i="14" s="1"/>
  <c r="X30" i="14"/>
  <c r="R30" i="14"/>
  <c r="Z30" i="14" s="1"/>
  <c r="AH30" i="14" s="1"/>
  <c r="AP30" i="14" s="1"/>
  <c r="AX30" i="14" s="1"/>
  <c r="BF30" i="14" s="1"/>
  <c r="BN30" i="14" s="1"/>
  <c r="BV30" i="14" s="1"/>
  <c r="CD30" i="14" s="1"/>
  <c r="CL30" i="14" s="1"/>
  <c r="CT30" i="14" s="1"/>
  <c r="DB30" i="14" s="1"/>
  <c r="Q30" i="14"/>
  <c r="Y30" i="14" s="1"/>
  <c r="AG30" i="14" s="1"/>
  <c r="AO30" i="14" s="1"/>
  <c r="AW30" i="14" s="1"/>
  <c r="BE30" i="14" s="1"/>
  <c r="BM30" i="14" s="1"/>
  <c r="BU30" i="14" s="1"/>
  <c r="CC30" i="14" s="1"/>
  <c r="CK30" i="14" s="1"/>
  <c r="CS30" i="14" s="1"/>
  <c r="DA30" i="14" s="1"/>
  <c r="P30" i="14"/>
  <c r="O30" i="14"/>
  <c r="W30" i="14" s="1"/>
  <c r="AE30" i="14" s="1"/>
  <c r="AM30" i="14" s="1"/>
  <c r="AU30" i="14" s="1"/>
  <c r="BC30" i="14" s="1"/>
  <c r="BK30" i="14" s="1"/>
  <c r="BS30" i="14" s="1"/>
  <c r="CA30" i="14" s="1"/>
  <c r="CI30" i="14" s="1"/>
  <c r="CQ30" i="14" s="1"/>
  <c r="CY30" i="14" s="1"/>
  <c r="N30" i="14"/>
  <c r="V30" i="14" s="1"/>
  <c r="AD30" i="14" s="1"/>
  <c r="AL30" i="14" s="1"/>
  <c r="AT30" i="14" s="1"/>
  <c r="BB30" i="14" s="1"/>
  <c r="BJ30" i="14" s="1"/>
  <c r="BR30" i="14" s="1"/>
  <c r="BZ30" i="14" s="1"/>
  <c r="CH30" i="14" s="1"/>
  <c r="CP30" i="14" s="1"/>
  <c r="CX30" i="14" s="1"/>
  <c r="C30" i="14"/>
  <c r="X29" i="14"/>
  <c r="AF29" i="14" s="1"/>
  <c r="AN29" i="14" s="1"/>
  <c r="AV29" i="14" s="1"/>
  <c r="BD29" i="14" s="1"/>
  <c r="BL29" i="14" s="1"/>
  <c r="BT29" i="14" s="1"/>
  <c r="CB29" i="14" s="1"/>
  <c r="CJ29" i="14" s="1"/>
  <c r="CR29" i="14" s="1"/>
  <c r="CZ29" i="14" s="1"/>
  <c r="R29" i="14"/>
  <c r="Z29" i="14" s="1"/>
  <c r="AH29" i="14" s="1"/>
  <c r="AP29" i="14" s="1"/>
  <c r="AX29" i="14" s="1"/>
  <c r="BF29" i="14" s="1"/>
  <c r="BN29" i="14" s="1"/>
  <c r="BV29" i="14" s="1"/>
  <c r="CD29" i="14" s="1"/>
  <c r="CL29" i="14" s="1"/>
  <c r="CT29" i="14" s="1"/>
  <c r="DB29" i="14" s="1"/>
  <c r="Q29" i="14"/>
  <c r="Y29" i="14" s="1"/>
  <c r="AG29" i="14" s="1"/>
  <c r="AO29" i="14" s="1"/>
  <c r="AW29" i="14" s="1"/>
  <c r="BE29" i="14" s="1"/>
  <c r="BM29" i="14" s="1"/>
  <c r="BU29" i="14" s="1"/>
  <c r="CC29" i="14" s="1"/>
  <c r="CK29" i="14" s="1"/>
  <c r="CS29" i="14" s="1"/>
  <c r="DA29" i="14" s="1"/>
  <c r="P29" i="14"/>
  <c r="O29" i="14"/>
  <c r="W29" i="14" s="1"/>
  <c r="AE29" i="14" s="1"/>
  <c r="AM29" i="14" s="1"/>
  <c r="AU29" i="14" s="1"/>
  <c r="BC29" i="14" s="1"/>
  <c r="BK29" i="14" s="1"/>
  <c r="BS29" i="14" s="1"/>
  <c r="CA29" i="14" s="1"/>
  <c r="CI29" i="14" s="1"/>
  <c r="CQ29" i="14" s="1"/>
  <c r="CY29" i="14" s="1"/>
  <c r="N29" i="14"/>
  <c r="V29" i="14" s="1"/>
  <c r="AD29" i="14" s="1"/>
  <c r="AL29" i="14" s="1"/>
  <c r="AT29" i="14" s="1"/>
  <c r="BB29" i="14" s="1"/>
  <c r="BJ29" i="14" s="1"/>
  <c r="BR29" i="14" s="1"/>
  <c r="BZ29" i="14" s="1"/>
  <c r="CH29" i="14" s="1"/>
  <c r="CP29" i="14" s="1"/>
  <c r="CX29" i="14" s="1"/>
  <c r="C29" i="14"/>
  <c r="X28" i="14"/>
  <c r="AF28" i="14" s="1"/>
  <c r="AN28" i="14" s="1"/>
  <c r="AV28" i="14" s="1"/>
  <c r="BD28" i="14" s="1"/>
  <c r="BL28" i="14" s="1"/>
  <c r="BT28" i="14" s="1"/>
  <c r="CB28" i="14" s="1"/>
  <c r="CJ28" i="14" s="1"/>
  <c r="CR28" i="14" s="1"/>
  <c r="CZ28" i="14" s="1"/>
  <c r="R28" i="14"/>
  <c r="Z28" i="14" s="1"/>
  <c r="AH28" i="14" s="1"/>
  <c r="AP28" i="14" s="1"/>
  <c r="AX28" i="14" s="1"/>
  <c r="BF28" i="14" s="1"/>
  <c r="BN28" i="14" s="1"/>
  <c r="BV28" i="14" s="1"/>
  <c r="CD28" i="14" s="1"/>
  <c r="CL28" i="14" s="1"/>
  <c r="CT28" i="14" s="1"/>
  <c r="DB28" i="14" s="1"/>
  <c r="Q28" i="14"/>
  <c r="Y28" i="14" s="1"/>
  <c r="AG28" i="14" s="1"/>
  <c r="AO28" i="14" s="1"/>
  <c r="AW28" i="14" s="1"/>
  <c r="BE28" i="14" s="1"/>
  <c r="BM28" i="14" s="1"/>
  <c r="BU28" i="14" s="1"/>
  <c r="CC28" i="14" s="1"/>
  <c r="CK28" i="14" s="1"/>
  <c r="CS28" i="14" s="1"/>
  <c r="DA28" i="14" s="1"/>
  <c r="P28" i="14"/>
  <c r="O28" i="14"/>
  <c r="W28" i="14" s="1"/>
  <c r="AE28" i="14" s="1"/>
  <c r="AM28" i="14" s="1"/>
  <c r="AU28" i="14" s="1"/>
  <c r="BC28" i="14" s="1"/>
  <c r="BK28" i="14" s="1"/>
  <c r="BS28" i="14" s="1"/>
  <c r="CA28" i="14" s="1"/>
  <c r="CI28" i="14" s="1"/>
  <c r="CQ28" i="14" s="1"/>
  <c r="CY28" i="14" s="1"/>
  <c r="N28" i="14"/>
  <c r="V28" i="14" s="1"/>
  <c r="AD28" i="14" s="1"/>
  <c r="AL28" i="14" s="1"/>
  <c r="AT28" i="14" s="1"/>
  <c r="BB28" i="14" s="1"/>
  <c r="BJ28" i="14" s="1"/>
  <c r="BR28" i="14" s="1"/>
  <c r="BZ28" i="14" s="1"/>
  <c r="CH28" i="14" s="1"/>
  <c r="CP28" i="14" s="1"/>
  <c r="CX28" i="14" s="1"/>
  <c r="C28" i="14"/>
  <c r="Z27" i="14"/>
  <c r="AH27" i="14" s="1"/>
  <c r="AP27" i="14" s="1"/>
  <c r="AX27" i="14" s="1"/>
  <c r="BF27" i="14" s="1"/>
  <c r="BN27" i="14" s="1"/>
  <c r="BV27" i="14" s="1"/>
  <c r="CD27" i="14" s="1"/>
  <c r="CL27" i="14" s="1"/>
  <c r="CT27" i="14" s="1"/>
  <c r="DB27" i="14" s="1"/>
  <c r="X27" i="14"/>
  <c r="AF27" i="14" s="1"/>
  <c r="AN27" i="14" s="1"/>
  <c r="AV27" i="14" s="1"/>
  <c r="BD27" i="14" s="1"/>
  <c r="BL27" i="14" s="1"/>
  <c r="BT27" i="14" s="1"/>
  <c r="CB27" i="14" s="1"/>
  <c r="CJ27" i="14" s="1"/>
  <c r="CR27" i="14" s="1"/>
  <c r="CZ27" i="14" s="1"/>
  <c r="R27" i="14"/>
  <c r="Q27" i="14"/>
  <c r="Y27" i="14" s="1"/>
  <c r="AG27" i="14" s="1"/>
  <c r="AO27" i="14" s="1"/>
  <c r="AW27" i="14" s="1"/>
  <c r="BE27" i="14" s="1"/>
  <c r="BM27" i="14" s="1"/>
  <c r="BU27" i="14" s="1"/>
  <c r="CC27" i="14" s="1"/>
  <c r="CK27" i="14" s="1"/>
  <c r="CS27" i="14" s="1"/>
  <c r="DA27" i="14" s="1"/>
  <c r="P27" i="14"/>
  <c r="O27" i="14"/>
  <c r="W27" i="14" s="1"/>
  <c r="AE27" i="14" s="1"/>
  <c r="AM27" i="14" s="1"/>
  <c r="AU27" i="14" s="1"/>
  <c r="BC27" i="14" s="1"/>
  <c r="BK27" i="14" s="1"/>
  <c r="BS27" i="14" s="1"/>
  <c r="CA27" i="14" s="1"/>
  <c r="CI27" i="14" s="1"/>
  <c r="CQ27" i="14" s="1"/>
  <c r="CY27" i="14" s="1"/>
  <c r="N27" i="14"/>
  <c r="V27" i="14" s="1"/>
  <c r="AD27" i="14" s="1"/>
  <c r="AL27" i="14" s="1"/>
  <c r="AT27" i="14" s="1"/>
  <c r="BB27" i="14" s="1"/>
  <c r="BJ27" i="14" s="1"/>
  <c r="BR27" i="14" s="1"/>
  <c r="BZ27" i="14" s="1"/>
  <c r="CH27" i="14" s="1"/>
  <c r="CP27" i="14" s="1"/>
  <c r="CX27" i="14" s="1"/>
  <c r="C27" i="14"/>
  <c r="R26" i="14"/>
  <c r="Z26" i="14" s="1"/>
  <c r="AH26" i="14" s="1"/>
  <c r="AP26" i="14" s="1"/>
  <c r="AX26" i="14" s="1"/>
  <c r="BF26" i="14" s="1"/>
  <c r="BN26" i="14" s="1"/>
  <c r="BV26" i="14" s="1"/>
  <c r="CD26" i="14" s="1"/>
  <c r="CL26" i="14" s="1"/>
  <c r="CT26" i="14" s="1"/>
  <c r="DB26" i="14" s="1"/>
  <c r="Q26" i="14"/>
  <c r="Y26" i="14" s="1"/>
  <c r="AG26" i="14" s="1"/>
  <c r="AO26" i="14" s="1"/>
  <c r="AW26" i="14" s="1"/>
  <c r="BE26" i="14" s="1"/>
  <c r="BM26" i="14" s="1"/>
  <c r="BU26" i="14" s="1"/>
  <c r="CC26" i="14" s="1"/>
  <c r="CK26" i="14" s="1"/>
  <c r="CS26" i="14" s="1"/>
  <c r="DA26" i="14" s="1"/>
  <c r="P26" i="14"/>
  <c r="X26" i="14" s="1"/>
  <c r="AF26" i="14" s="1"/>
  <c r="AN26" i="14" s="1"/>
  <c r="AV26" i="14" s="1"/>
  <c r="BD26" i="14" s="1"/>
  <c r="BL26" i="14" s="1"/>
  <c r="BT26" i="14" s="1"/>
  <c r="CB26" i="14" s="1"/>
  <c r="CJ26" i="14" s="1"/>
  <c r="CR26" i="14" s="1"/>
  <c r="CZ26" i="14" s="1"/>
  <c r="O26" i="14"/>
  <c r="W26" i="14" s="1"/>
  <c r="AE26" i="14" s="1"/>
  <c r="AM26" i="14" s="1"/>
  <c r="AU26" i="14" s="1"/>
  <c r="BC26" i="14" s="1"/>
  <c r="BK26" i="14" s="1"/>
  <c r="BS26" i="14" s="1"/>
  <c r="CA26" i="14" s="1"/>
  <c r="CI26" i="14" s="1"/>
  <c r="CQ26" i="14" s="1"/>
  <c r="CY26" i="14" s="1"/>
  <c r="N26" i="14"/>
  <c r="V26" i="14" s="1"/>
  <c r="AD26" i="14" s="1"/>
  <c r="AL26" i="14" s="1"/>
  <c r="AT26" i="14" s="1"/>
  <c r="BB26" i="14" s="1"/>
  <c r="BJ26" i="14" s="1"/>
  <c r="BR26" i="14" s="1"/>
  <c r="BZ26" i="14" s="1"/>
  <c r="CH26" i="14" s="1"/>
  <c r="CP26" i="14" s="1"/>
  <c r="CX26" i="14" s="1"/>
  <c r="C26" i="14"/>
  <c r="R25" i="14"/>
  <c r="Z25" i="14" s="1"/>
  <c r="AH25" i="14" s="1"/>
  <c r="AP25" i="14" s="1"/>
  <c r="AX25" i="14" s="1"/>
  <c r="BF25" i="14" s="1"/>
  <c r="BN25" i="14" s="1"/>
  <c r="BV25" i="14" s="1"/>
  <c r="CD25" i="14" s="1"/>
  <c r="CL25" i="14" s="1"/>
  <c r="CT25" i="14" s="1"/>
  <c r="DB25" i="14" s="1"/>
  <c r="Q25" i="14"/>
  <c r="Y25" i="14" s="1"/>
  <c r="AG25" i="14" s="1"/>
  <c r="AO25" i="14" s="1"/>
  <c r="AW25" i="14" s="1"/>
  <c r="BE25" i="14" s="1"/>
  <c r="BM25" i="14" s="1"/>
  <c r="BU25" i="14" s="1"/>
  <c r="CC25" i="14" s="1"/>
  <c r="CK25" i="14" s="1"/>
  <c r="CS25" i="14" s="1"/>
  <c r="DA25" i="14" s="1"/>
  <c r="P25" i="14"/>
  <c r="X25" i="14" s="1"/>
  <c r="AF25" i="14" s="1"/>
  <c r="AN25" i="14" s="1"/>
  <c r="AV25" i="14" s="1"/>
  <c r="BD25" i="14" s="1"/>
  <c r="BL25" i="14" s="1"/>
  <c r="BT25" i="14" s="1"/>
  <c r="CB25" i="14" s="1"/>
  <c r="CJ25" i="14" s="1"/>
  <c r="CR25" i="14" s="1"/>
  <c r="CZ25" i="14" s="1"/>
  <c r="O25" i="14"/>
  <c r="W25" i="14" s="1"/>
  <c r="AE25" i="14" s="1"/>
  <c r="AM25" i="14" s="1"/>
  <c r="AU25" i="14" s="1"/>
  <c r="BC25" i="14" s="1"/>
  <c r="BK25" i="14" s="1"/>
  <c r="BS25" i="14" s="1"/>
  <c r="CA25" i="14" s="1"/>
  <c r="CI25" i="14" s="1"/>
  <c r="CQ25" i="14" s="1"/>
  <c r="CY25" i="14" s="1"/>
  <c r="N25" i="14"/>
  <c r="V25" i="14" s="1"/>
  <c r="AD25" i="14" s="1"/>
  <c r="AL25" i="14" s="1"/>
  <c r="AT25" i="14" s="1"/>
  <c r="BB25" i="14" s="1"/>
  <c r="BJ25" i="14" s="1"/>
  <c r="BR25" i="14" s="1"/>
  <c r="BZ25" i="14" s="1"/>
  <c r="CH25" i="14" s="1"/>
  <c r="CP25" i="14" s="1"/>
  <c r="CX25" i="14" s="1"/>
  <c r="C25" i="14"/>
  <c r="Y24" i="14"/>
  <c r="AG24" i="14" s="1"/>
  <c r="AO24" i="14" s="1"/>
  <c r="AW24" i="14" s="1"/>
  <c r="BE24" i="14" s="1"/>
  <c r="BM24" i="14" s="1"/>
  <c r="BU24" i="14" s="1"/>
  <c r="CC24" i="14" s="1"/>
  <c r="CK24" i="14" s="1"/>
  <c r="CS24" i="14" s="1"/>
  <c r="DA24" i="14" s="1"/>
  <c r="W24" i="14"/>
  <c r="AE24" i="14" s="1"/>
  <c r="AM24" i="14" s="1"/>
  <c r="AU24" i="14" s="1"/>
  <c r="BC24" i="14" s="1"/>
  <c r="BK24" i="14" s="1"/>
  <c r="BS24" i="14" s="1"/>
  <c r="CA24" i="14" s="1"/>
  <c r="CI24" i="14" s="1"/>
  <c r="CQ24" i="14" s="1"/>
  <c r="CY24" i="14" s="1"/>
  <c r="R24" i="14"/>
  <c r="Z24" i="14" s="1"/>
  <c r="AH24" i="14" s="1"/>
  <c r="AP24" i="14" s="1"/>
  <c r="AX24" i="14" s="1"/>
  <c r="BF24" i="14" s="1"/>
  <c r="BN24" i="14" s="1"/>
  <c r="BV24" i="14" s="1"/>
  <c r="CD24" i="14" s="1"/>
  <c r="CL24" i="14" s="1"/>
  <c r="CT24" i="14" s="1"/>
  <c r="DB24" i="14" s="1"/>
  <c r="Q24" i="14"/>
  <c r="P24" i="14"/>
  <c r="X24" i="14" s="1"/>
  <c r="AF24" i="14" s="1"/>
  <c r="AN24" i="14" s="1"/>
  <c r="AV24" i="14" s="1"/>
  <c r="BD24" i="14" s="1"/>
  <c r="BL24" i="14" s="1"/>
  <c r="BT24" i="14" s="1"/>
  <c r="CB24" i="14" s="1"/>
  <c r="CJ24" i="14" s="1"/>
  <c r="CR24" i="14" s="1"/>
  <c r="CZ24" i="14" s="1"/>
  <c r="O24" i="14"/>
  <c r="N24" i="14"/>
  <c r="V24" i="14" s="1"/>
  <c r="AD24" i="14" s="1"/>
  <c r="AL24" i="14" s="1"/>
  <c r="AT24" i="14" s="1"/>
  <c r="BB24" i="14" s="1"/>
  <c r="BJ24" i="14" s="1"/>
  <c r="BR24" i="14" s="1"/>
  <c r="BZ24" i="14" s="1"/>
  <c r="CH24" i="14" s="1"/>
  <c r="CP24" i="14" s="1"/>
  <c r="CX24" i="14" s="1"/>
  <c r="C24" i="14"/>
  <c r="Z23" i="14"/>
  <c r="AH23" i="14" s="1"/>
  <c r="AP23" i="14" s="1"/>
  <c r="AX23" i="14" s="1"/>
  <c r="BF23" i="14" s="1"/>
  <c r="BN23" i="14" s="1"/>
  <c r="BV23" i="14" s="1"/>
  <c r="CD23" i="14" s="1"/>
  <c r="CL23" i="14" s="1"/>
  <c r="CT23" i="14" s="1"/>
  <c r="DB23" i="14" s="1"/>
  <c r="X23" i="14"/>
  <c r="AF23" i="14" s="1"/>
  <c r="AN23" i="14" s="1"/>
  <c r="AV23" i="14" s="1"/>
  <c r="BD23" i="14" s="1"/>
  <c r="BL23" i="14" s="1"/>
  <c r="BT23" i="14" s="1"/>
  <c r="CB23" i="14" s="1"/>
  <c r="CJ23" i="14" s="1"/>
  <c r="CR23" i="14" s="1"/>
  <c r="CZ23" i="14" s="1"/>
  <c r="R23" i="14"/>
  <c r="Q23" i="14"/>
  <c r="Y23" i="14" s="1"/>
  <c r="AG23" i="14" s="1"/>
  <c r="AO23" i="14" s="1"/>
  <c r="AW23" i="14" s="1"/>
  <c r="BE23" i="14" s="1"/>
  <c r="BM23" i="14" s="1"/>
  <c r="BU23" i="14" s="1"/>
  <c r="CC23" i="14" s="1"/>
  <c r="CK23" i="14" s="1"/>
  <c r="CS23" i="14" s="1"/>
  <c r="DA23" i="14" s="1"/>
  <c r="P23" i="14"/>
  <c r="O23" i="14"/>
  <c r="W23" i="14" s="1"/>
  <c r="AE23" i="14" s="1"/>
  <c r="AM23" i="14" s="1"/>
  <c r="AU23" i="14" s="1"/>
  <c r="BC23" i="14" s="1"/>
  <c r="BK23" i="14" s="1"/>
  <c r="BS23" i="14" s="1"/>
  <c r="CA23" i="14" s="1"/>
  <c r="CI23" i="14" s="1"/>
  <c r="CQ23" i="14" s="1"/>
  <c r="CY23" i="14" s="1"/>
  <c r="N23" i="14"/>
  <c r="V23" i="14" s="1"/>
  <c r="AD23" i="14" s="1"/>
  <c r="AL23" i="14" s="1"/>
  <c r="AT23" i="14" s="1"/>
  <c r="BB23" i="14" s="1"/>
  <c r="BJ23" i="14" s="1"/>
  <c r="BR23" i="14" s="1"/>
  <c r="BZ23" i="14" s="1"/>
  <c r="CH23" i="14" s="1"/>
  <c r="CP23" i="14" s="1"/>
  <c r="CX23" i="14" s="1"/>
  <c r="C23" i="14"/>
  <c r="R22" i="14"/>
  <c r="Z22" i="14" s="1"/>
  <c r="AH22" i="14" s="1"/>
  <c r="AP22" i="14" s="1"/>
  <c r="AX22" i="14" s="1"/>
  <c r="BF22" i="14" s="1"/>
  <c r="BN22" i="14" s="1"/>
  <c r="BV22" i="14" s="1"/>
  <c r="CD22" i="14" s="1"/>
  <c r="CL22" i="14" s="1"/>
  <c r="CT22" i="14" s="1"/>
  <c r="DB22" i="14" s="1"/>
  <c r="Q22" i="14"/>
  <c r="Y22" i="14" s="1"/>
  <c r="AG22" i="14" s="1"/>
  <c r="AO22" i="14" s="1"/>
  <c r="AW22" i="14" s="1"/>
  <c r="BE22" i="14" s="1"/>
  <c r="BM22" i="14" s="1"/>
  <c r="BU22" i="14" s="1"/>
  <c r="CC22" i="14" s="1"/>
  <c r="CK22" i="14" s="1"/>
  <c r="CS22" i="14" s="1"/>
  <c r="DA22" i="14" s="1"/>
  <c r="P22" i="14"/>
  <c r="X22" i="14" s="1"/>
  <c r="AF22" i="14" s="1"/>
  <c r="AN22" i="14" s="1"/>
  <c r="AV22" i="14" s="1"/>
  <c r="BD22" i="14" s="1"/>
  <c r="BL22" i="14" s="1"/>
  <c r="BT22" i="14" s="1"/>
  <c r="CB22" i="14" s="1"/>
  <c r="CJ22" i="14" s="1"/>
  <c r="CR22" i="14" s="1"/>
  <c r="CZ22" i="14" s="1"/>
  <c r="O22" i="14"/>
  <c r="W22" i="14" s="1"/>
  <c r="AE22" i="14" s="1"/>
  <c r="AM22" i="14" s="1"/>
  <c r="AU22" i="14" s="1"/>
  <c r="BC22" i="14" s="1"/>
  <c r="BK22" i="14" s="1"/>
  <c r="BS22" i="14" s="1"/>
  <c r="CA22" i="14" s="1"/>
  <c r="CI22" i="14" s="1"/>
  <c r="CQ22" i="14" s="1"/>
  <c r="CY22" i="14" s="1"/>
  <c r="N22" i="14"/>
  <c r="V22" i="14" s="1"/>
  <c r="AD22" i="14" s="1"/>
  <c r="AL22" i="14" s="1"/>
  <c r="AT22" i="14" s="1"/>
  <c r="BB22" i="14" s="1"/>
  <c r="BJ22" i="14" s="1"/>
  <c r="BR22" i="14" s="1"/>
  <c r="BZ22" i="14" s="1"/>
  <c r="CH22" i="14" s="1"/>
  <c r="CP22" i="14" s="1"/>
  <c r="CX22" i="14" s="1"/>
  <c r="C22" i="14"/>
  <c r="R21" i="14"/>
  <c r="Z21" i="14" s="1"/>
  <c r="AH21" i="14" s="1"/>
  <c r="AP21" i="14" s="1"/>
  <c r="AX21" i="14" s="1"/>
  <c r="BF21" i="14" s="1"/>
  <c r="BN21" i="14" s="1"/>
  <c r="BV21" i="14" s="1"/>
  <c r="CD21" i="14" s="1"/>
  <c r="CL21" i="14" s="1"/>
  <c r="CT21" i="14" s="1"/>
  <c r="DB21" i="14" s="1"/>
  <c r="Q21" i="14"/>
  <c r="Y21" i="14" s="1"/>
  <c r="AG21" i="14" s="1"/>
  <c r="AO21" i="14" s="1"/>
  <c r="AW21" i="14" s="1"/>
  <c r="BE21" i="14" s="1"/>
  <c r="BM21" i="14" s="1"/>
  <c r="BU21" i="14" s="1"/>
  <c r="CC21" i="14" s="1"/>
  <c r="CK21" i="14" s="1"/>
  <c r="CS21" i="14" s="1"/>
  <c r="DA21" i="14" s="1"/>
  <c r="P21" i="14"/>
  <c r="X21" i="14" s="1"/>
  <c r="AF21" i="14" s="1"/>
  <c r="AN21" i="14" s="1"/>
  <c r="AV21" i="14" s="1"/>
  <c r="BD21" i="14" s="1"/>
  <c r="BL21" i="14" s="1"/>
  <c r="BT21" i="14" s="1"/>
  <c r="CB21" i="14" s="1"/>
  <c r="CJ21" i="14" s="1"/>
  <c r="CR21" i="14" s="1"/>
  <c r="CZ21" i="14" s="1"/>
  <c r="O21" i="14"/>
  <c r="W21" i="14" s="1"/>
  <c r="AE21" i="14" s="1"/>
  <c r="AM21" i="14" s="1"/>
  <c r="AU21" i="14" s="1"/>
  <c r="BC21" i="14" s="1"/>
  <c r="BK21" i="14" s="1"/>
  <c r="BS21" i="14" s="1"/>
  <c r="CA21" i="14" s="1"/>
  <c r="CI21" i="14" s="1"/>
  <c r="CQ21" i="14" s="1"/>
  <c r="CY21" i="14" s="1"/>
  <c r="N21" i="14"/>
  <c r="V21" i="14" s="1"/>
  <c r="AD21" i="14" s="1"/>
  <c r="AL21" i="14" s="1"/>
  <c r="AT21" i="14" s="1"/>
  <c r="BB21" i="14" s="1"/>
  <c r="BJ21" i="14" s="1"/>
  <c r="BR21" i="14" s="1"/>
  <c r="BZ21" i="14" s="1"/>
  <c r="CH21" i="14" s="1"/>
  <c r="CP21" i="14" s="1"/>
  <c r="CX21" i="14" s="1"/>
  <c r="C21" i="14"/>
  <c r="R20" i="14"/>
  <c r="Z20" i="14" s="1"/>
  <c r="AH20" i="14" s="1"/>
  <c r="AP20" i="14" s="1"/>
  <c r="AX20" i="14" s="1"/>
  <c r="BF20" i="14" s="1"/>
  <c r="BN20" i="14" s="1"/>
  <c r="BV20" i="14" s="1"/>
  <c r="CD20" i="14" s="1"/>
  <c r="CL20" i="14" s="1"/>
  <c r="CT20" i="14" s="1"/>
  <c r="DB20" i="14" s="1"/>
  <c r="Q20" i="14"/>
  <c r="Y20" i="14" s="1"/>
  <c r="AG20" i="14" s="1"/>
  <c r="AO20" i="14" s="1"/>
  <c r="AW20" i="14" s="1"/>
  <c r="BE20" i="14" s="1"/>
  <c r="BM20" i="14" s="1"/>
  <c r="BU20" i="14" s="1"/>
  <c r="CC20" i="14" s="1"/>
  <c r="CK20" i="14" s="1"/>
  <c r="CS20" i="14" s="1"/>
  <c r="DA20" i="14" s="1"/>
  <c r="P20" i="14"/>
  <c r="X20" i="14" s="1"/>
  <c r="AF20" i="14" s="1"/>
  <c r="AN20" i="14" s="1"/>
  <c r="AV20" i="14" s="1"/>
  <c r="BD20" i="14" s="1"/>
  <c r="BL20" i="14" s="1"/>
  <c r="BT20" i="14" s="1"/>
  <c r="CB20" i="14" s="1"/>
  <c r="CJ20" i="14" s="1"/>
  <c r="CR20" i="14" s="1"/>
  <c r="CZ20" i="14" s="1"/>
  <c r="O20" i="14"/>
  <c r="W20" i="14" s="1"/>
  <c r="AE20" i="14" s="1"/>
  <c r="AM20" i="14" s="1"/>
  <c r="AU20" i="14" s="1"/>
  <c r="BC20" i="14" s="1"/>
  <c r="BK20" i="14" s="1"/>
  <c r="BS20" i="14" s="1"/>
  <c r="CA20" i="14" s="1"/>
  <c r="CI20" i="14" s="1"/>
  <c r="CQ20" i="14" s="1"/>
  <c r="CY20" i="14" s="1"/>
  <c r="N20" i="14"/>
  <c r="V20" i="14" s="1"/>
  <c r="AD20" i="14" s="1"/>
  <c r="AL20" i="14" s="1"/>
  <c r="AT20" i="14" s="1"/>
  <c r="BB20" i="14" s="1"/>
  <c r="BJ20" i="14" s="1"/>
  <c r="BR20" i="14" s="1"/>
  <c r="BZ20" i="14" s="1"/>
  <c r="CH20" i="14" s="1"/>
  <c r="CP20" i="14" s="1"/>
  <c r="CX20" i="14" s="1"/>
  <c r="C20" i="14"/>
  <c r="R19" i="14"/>
  <c r="Z19" i="14" s="1"/>
  <c r="AH19" i="14" s="1"/>
  <c r="AP19" i="14" s="1"/>
  <c r="AX19" i="14" s="1"/>
  <c r="BF19" i="14" s="1"/>
  <c r="BN19" i="14" s="1"/>
  <c r="BV19" i="14" s="1"/>
  <c r="CD19" i="14" s="1"/>
  <c r="CL19" i="14" s="1"/>
  <c r="CT19" i="14" s="1"/>
  <c r="DB19" i="14" s="1"/>
  <c r="Q19" i="14"/>
  <c r="Y19" i="14" s="1"/>
  <c r="AG19" i="14" s="1"/>
  <c r="AO19" i="14" s="1"/>
  <c r="AW19" i="14" s="1"/>
  <c r="BE19" i="14" s="1"/>
  <c r="BM19" i="14" s="1"/>
  <c r="BU19" i="14" s="1"/>
  <c r="CC19" i="14" s="1"/>
  <c r="CK19" i="14" s="1"/>
  <c r="CS19" i="14" s="1"/>
  <c r="DA19" i="14" s="1"/>
  <c r="P19" i="14"/>
  <c r="X19" i="14" s="1"/>
  <c r="AF19" i="14" s="1"/>
  <c r="AN19" i="14" s="1"/>
  <c r="AV19" i="14" s="1"/>
  <c r="BD19" i="14" s="1"/>
  <c r="BL19" i="14" s="1"/>
  <c r="BT19" i="14" s="1"/>
  <c r="CB19" i="14" s="1"/>
  <c r="CJ19" i="14" s="1"/>
  <c r="CR19" i="14" s="1"/>
  <c r="CZ19" i="14" s="1"/>
  <c r="O19" i="14"/>
  <c r="W19" i="14" s="1"/>
  <c r="AE19" i="14" s="1"/>
  <c r="AM19" i="14" s="1"/>
  <c r="AU19" i="14" s="1"/>
  <c r="BC19" i="14" s="1"/>
  <c r="BK19" i="14" s="1"/>
  <c r="BS19" i="14" s="1"/>
  <c r="CA19" i="14" s="1"/>
  <c r="CI19" i="14" s="1"/>
  <c r="CQ19" i="14" s="1"/>
  <c r="CY19" i="14" s="1"/>
  <c r="N19" i="14"/>
  <c r="V19" i="14" s="1"/>
  <c r="AD19" i="14" s="1"/>
  <c r="AL19" i="14" s="1"/>
  <c r="AT19" i="14" s="1"/>
  <c r="BB19" i="14" s="1"/>
  <c r="BJ19" i="14" s="1"/>
  <c r="BR19" i="14" s="1"/>
  <c r="BZ19" i="14" s="1"/>
  <c r="CH19" i="14" s="1"/>
  <c r="CP19" i="14" s="1"/>
  <c r="CX19" i="14" s="1"/>
  <c r="C19" i="14"/>
  <c r="R18" i="14"/>
  <c r="Z18" i="14" s="1"/>
  <c r="AH18" i="14" s="1"/>
  <c r="AP18" i="14" s="1"/>
  <c r="AX18" i="14" s="1"/>
  <c r="BF18" i="14" s="1"/>
  <c r="BN18" i="14" s="1"/>
  <c r="BV18" i="14" s="1"/>
  <c r="CD18" i="14" s="1"/>
  <c r="CL18" i="14" s="1"/>
  <c r="CT18" i="14" s="1"/>
  <c r="DB18" i="14" s="1"/>
  <c r="Q18" i="14"/>
  <c r="Y18" i="14" s="1"/>
  <c r="AG18" i="14" s="1"/>
  <c r="AO18" i="14" s="1"/>
  <c r="AW18" i="14" s="1"/>
  <c r="BE18" i="14" s="1"/>
  <c r="BM18" i="14" s="1"/>
  <c r="BU18" i="14" s="1"/>
  <c r="CC18" i="14" s="1"/>
  <c r="CK18" i="14" s="1"/>
  <c r="CS18" i="14" s="1"/>
  <c r="DA18" i="14" s="1"/>
  <c r="P18" i="14"/>
  <c r="X18" i="14" s="1"/>
  <c r="AF18" i="14" s="1"/>
  <c r="AN18" i="14" s="1"/>
  <c r="AV18" i="14" s="1"/>
  <c r="BD18" i="14" s="1"/>
  <c r="BL18" i="14" s="1"/>
  <c r="BT18" i="14" s="1"/>
  <c r="CB18" i="14" s="1"/>
  <c r="CJ18" i="14" s="1"/>
  <c r="CR18" i="14" s="1"/>
  <c r="CZ18" i="14" s="1"/>
  <c r="O18" i="14"/>
  <c r="W18" i="14" s="1"/>
  <c r="AE18" i="14" s="1"/>
  <c r="AM18" i="14" s="1"/>
  <c r="AU18" i="14" s="1"/>
  <c r="BC18" i="14" s="1"/>
  <c r="BK18" i="14" s="1"/>
  <c r="BS18" i="14" s="1"/>
  <c r="CA18" i="14" s="1"/>
  <c r="CI18" i="14" s="1"/>
  <c r="CQ18" i="14" s="1"/>
  <c r="CY18" i="14" s="1"/>
  <c r="N18" i="14"/>
  <c r="V18" i="14" s="1"/>
  <c r="AD18" i="14" s="1"/>
  <c r="AL18" i="14" s="1"/>
  <c r="AT18" i="14" s="1"/>
  <c r="BB18" i="14" s="1"/>
  <c r="BJ18" i="14" s="1"/>
  <c r="BR18" i="14" s="1"/>
  <c r="BZ18" i="14" s="1"/>
  <c r="CH18" i="14" s="1"/>
  <c r="CP18" i="14" s="1"/>
  <c r="CX18" i="14" s="1"/>
  <c r="C18" i="14"/>
  <c r="Z17" i="14"/>
  <c r="AH17" i="14" s="1"/>
  <c r="AP17" i="14" s="1"/>
  <c r="AX17" i="14" s="1"/>
  <c r="BF17" i="14" s="1"/>
  <c r="BN17" i="14" s="1"/>
  <c r="BV17" i="14" s="1"/>
  <c r="CD17" i="14" s="1"/>
  <c r="CL17" i="14" s="1"/>
  <c r="CT17" i="14" s="1"/>
  <c r="DB17" i="14" s="1"/>
  <c r="R17" i="14"/>
  <c r="Q17" i="14"/>
  <c r="Y17" i="14" s="1"/>
  <c r="AG17" i="14" s="1"/>
  <c r="AO17" i="14" s="1"/>
  <c r="AW17" i="14" s="1"/>
  <c r="BE17" i="14" s="1"/>
  <c r="BM17" i="14" s="1"/>
  <c r="BU17" i="14" s="1"/>
  <c r="CC17" i="14" s="1"/>
  <c r="CK17" i="14" s="1"/>
  <c r="CS17" i="14" s="1"/>
  <c r="DA17" i="14" s="1"/>
  <c r="P17" i="14"/>
  <c r="X17" i="14" s="1"/>
  <c r="AF17" i="14" s="1"/>
  <c r="AN17" i="14" s="1"/>
  <c r="AV17" i="14" s="1"/>
  <c r="BD17" i="14" s="1"/>
  <c r="BL17" i="14" s="1"/>
  <c r="BT17" i="14" s="1"/>
  <c r="CB17" i="14" s="1"/>
  <c r="CJ17" i="14" s="1"/>
  <c r="CR17" i="14" s="1"/>
  <c r="CZ17" i="14" s="1"/>
  <c r="O17" i="14"/>
  <c r="W17" i="14" s="1"/>
  <c r="AE17" i="14" s="1"/>
  <c r="AM17" i="14" s="1"/>
  <c r="AU17" i="14" s="1"/>
  <c r="BC17" i="14" s="1"/>
  <c r="BK17" i="14" s="1"/>
  <c r="BS17" i="14" s="1"/>
  <c r="CA17" i="14" s="1"/>
  <c r="CI17" i="14" s="1"/>
  <c r="CQ17" i="14" s="1"/>
  <c r="CY17" i="14" s="1"/>
  <c r="N17" i="14"/>
  <c r="V17" i="14" s="1"/>
  <c r="AD17" i="14" s="1"/>
  <c r="AL17" i="14" s="1"/>
  <c r="AT17" i="14" s="1"/>
  <c r="BB17" i="14" s="1"/>
  <c r="BJ17" i="14" s="1"/>
  <c r="BR17" i="14" s="1"/>
  <c r="BZ17" i="14" s="1"/>
  <c r="CH17" i="14" s="1"/>
  <c r="CP17" i="14" s="1"/>
  <c r="CX17" i="14" s="1"/>
  <c r="C17" i="14"/>
  <c r="R16" i="14"/>
  <c r="Z16" i="14" s="1"/>
  <c r="AH16" i="14" s="1"/>
  <c r="AP16" i="14" s="1"/>
  <c r="AX16" i="14" s="1"/>
  <c r="BF16" i="14" s="1"/>
  <c r="BN16" i="14" s="1"/>
  <c r="BV16" i="14" s="1"/>
  <c r="CD16" i="14" s="1"/>
  <c r="CL16" i="14" s="1"/>
  <c r="CT16" i="14" s="1"/>
  <c r="DB16" i="14" s="1"/>
  <c r="Q16" i="14"/>
  <c r="Y16" i="14" s="1"/>
  <c r="AG16" i="14" s="1"/>
  <c r="AO16" i="14" s="1"/>
  <c r="AW16" i="14" s="1"/>
  <c r="BE16" i="14" s="1"/>
  <c r="BM16" i="14" s="1"/>
  <c r="BU16" i="14" s="1"/>
  <c r="CC16" i="14" s="1"/>
  <c r="CK16" i="14" s="1"/>
  <c r="CS16" i="14" s="1"/>
  <c r="DA16" i="14" s="1"/>
  <c r="P16" i="14"/>
  <c r="X16" i="14" s="1"/>
  <c r="AF16" i="14" s="1"/>
  <c r="AN16" i="14" s="1"/>
  <c r="AV16" i="14" s="1"/>
  <c r="BD16" i="14" s="1"/>
  <c r="BL16" i="14" s="1"/>
  <c r="BT16" i="14" s="1"/>
  <c r="CB16" i="14" s="1"/>
  <c r="CJ16" i="14" s="1"/>
  <c r="CR16" i="14" s="1"/>
  <c r="CZ16" i="14" s="1"/>
  <c r="O16" i="14"/>
  <c r="W16" i="14" s="1"/>
  <c r="AE16" i="14" s="1"/>
  <c r="AM16" i="14" s="1"/>
  <c r="AU16" i="14" s="1"/>
  <c r="BC16" i="14" s="1"/>
  <c r="BK16" i="14" s="1"/>
  <c r="BS16" i="14" s="1"/>
  <c r="CA16" i="14" s="1"/>
  <c r="CI16" i="14" s="1"/>
  <c r="CQ16" i="14" s="1"/>
  <c r="CY16" i="14" s="1"/>
  <c r="N16" i="14"/>
  <c r="V16" i="14" s="1"/>
  <c r="AD16" i="14" s="1"/>
  <c r="AL16" i="14" s="1"/>
  <c r="AT16" i="14" s="1"/>
  <c r="BB16" i="14" s="1"/>
  <c r="BJ16" i="14" s="1"/>
  <c r="BR16" i="14" s="1"/>
  <c r="BZ16" i="14" s="1"/>
  <c r="CH16" i="14" s="1"/>
  <c r="CP16" i="14" s="1"/>
  <c r="CX16" i="14" s="1"/>
  <c r="C16" i="14"/>
  <c r="X15" i="14"/>
  <c r="AF15" i="14" s="1"/>
  <c r="AN15" i="14" s="1"/>
  <c r="AV15" i="14" s="1"/>
  <c r="BD15" i="14" s="1"/>
  <c r="BL15" i="14" s="1"/>
  <c r="BT15" i="14" s="1"/>
  <c r="CB15" i="14" s="1"/>
  <c r="CJ15" i="14" s="1"/>
  <c r="CR15" i="14" s="1"/>
  <c r="CZ15" i="14" s="1"/>
  <c r="R15" i="14"/>
  <c r="Z15" i="14" s="1"/>
  <c r="AH15" i="14" s="1"/>
  <c r="AP15" i="14" s="1"/>
  <c r="AX15" i="14" s="1"/>
  <c r="BF15" i="14" s="1"/>
  <c r="BN15" i="14" s="1"/>
  <c r="BV15" i="14" s="1"/>
  <c r="CD15" i="14" s="1"/>
  <c r="CL15" i="14" s="1"/>
  <c r="CT15" i="14" s="1"/>
  <c r="DB15" i="14" s="1"/>
  <c r="Q15" i="14"/>
  <c r="Y15" i="14" s="1"/>
  <c r="AG15" i="14" s="1"/>
  <c r="AO15" i="14" s="1"/>
  <c r="AW15" i="14" s="1"/>
  <c r="BE15" i="14" s="1"/>
  <c r="BM15" i="14" s="1"/>
  <c r="BU15" i="14" s="1"/>
  <c r="CC15" i="14" s="1"/>
  <c r="CK15" i="14" s="1"/>
  <c r="CS15" i="14" s="1"/>
  <c r="DA15" i="14" s="1"/>
  <c r="P15" i="14"/>
  <c r="O15" i="14"/>
  <c r="W15" i="14" s="1"/>
  <c r="AE15" i="14" s="1"/>
  <c r="AM15" i="14" s="1"/>
  <c r="AU15" i="14" s="1"/>
  <c r="BC15" i="14" s="1"/>
  <c r="BK15" i="14" s="1"/>
  <c r="BS15" i="14" s="1"/>
  <c r="CA15" i="14" s="1"/>
  <c r="CI15" i="14" s="1"/>
  <c r="CQ15" i="14" s="1"/>
  <c r="CY15" i="14" s="1"/>
  <c r="N15" i="14"/>
  <c r="V15" i="14" s="1"/>
  <c r="AD15" i="14" s="1"/>
  <c r="AL15" i="14" s="1"/>
  <c r="AT15" i="14" s="1"/>
  <c r="BB15" i="14" s="1"/>
  <c r="BJ15" i="14" s="1"/>
  <c r="BR15" i="14" s="1"/>
  <c r="BZ15" i="14" s="1"/>
  <c r="CH15" i="14" s="1"/>
  <c r="CP15" i="14" s="1"/>
  <c r="CX15" i="14" s="1"/>
  <c r="C15" i="14"/>
  <c r="X14" i="14"/>
  <c r="AF14" i="14" s="1"/>
  <c r="AN14" i="14" s="1"/>
  <c r="AV14" i="14" s="1"/>
  <c r="BD14" i="14" s="1"/>
  <c r="BL14" i="14" s="1"/>
  <c r="BT14" i="14" s="1"/>
  <c r="CB14" i="14" s="1"/>
  <c r="CJ14" i="14" s="1"/>
  <c r="CR14" i="14" s="1"/>
  <c r="CZ14" i="14" s="1"/>
  <c r="R14" i="14"/>
  <c r="Z14" i="14" s="1"/>
  <c r="AH14" i="14" s="1"/>
  <c r="AP14" i="14" s="1"/>
  <c r="AX14" i="14" s="1"/>
  <c r="BF14" i="14" s="1"/>
  <c r="BN14" i="14" s="1"/>
  <c r="BV14" i="14" s="1"/>
  <c r="CD14" i="14" s="1"/>
  <c r="CL14" i="14" s="1"/>
  <c r="CT14" i="14" s="1"/>
  <c r="DB14" i="14" s="1"/>
  <c r="Q14" i="14"/>
  <c r="Y14" i="14" s="1"/>
  <c r="AG14" i="14" s="1"/>
  <c r="AO14" i="14" s="1"/>
  <c r="AW14" i="14" s="1"/>
  <c r="BE14" i="14" s="1"/>
  <c r="BM14" i="14" s="1"/>
  <c r="BU14" i="14" s="1"/>
  <c r="CC14" i="14" s="1"/>
  <c r="CK14" i="14" s="1"/>
  <c r="CS14" i="14" s="1"/>
  <c r="DA14" i="14" s="1"/>
  <c r="P14" i="14"/>
  <c r="O14" i="14"/>
  <c r="W14" i="14" s="1"/>
  <c r="AE14" i="14" s="1"/>
  <c r="AM14" i="14" s="1"/>
  <c r="AU14" i="14" s="1"/>
  <c r="BC14" i="14" s="1"/>
  <c r="BK14" i="14" s="1"/>
  <c r="BS14" i="14" s="1"/>
  <c r="CA14" i="14" s="1"/>
  <c r="CI14" i="14" s="1"/>
  <c r="CQ14" i="14" s="1"/>
  <c r="CY14" i="14" s="1"/>
  <c r="N14" i="14"/>
  <c r="V14" i="14" s="1"/>
  <c r="AD14" i="14" s="1"/>
  <c r="AL14" i="14" s="1"/>
  <c r="AT14" i="14" s="1"/>
  <c r="BB14" i="14" s="1"/>
  <c r="BJ14" i="14" s="1"/>
  <c r="BR14" i="14" s="1"/>
  <c r="BZ14" i="14" s="1"/>
  <c r="CH14" i="14" s="1"/>
  <c r="CP14" i="14" s="1"/>
  <c r="CX14" i="14" s="1"/>
  <c r="C14" i="14"/>
  <c r="BJ13" i="14"/>
  <c r="BR13" i="14" s="1"/>
  <c r="BZ13" i="14" s="1"/>
  <c r="CH13" i="14" s="1"/>
  <c r="CP13" i="14" s="1"/>
  <c r="CX13" i="14" s="1"/>
  <c r="Y13" i="14"/>
  <c r="AG13" i="14" s="1"/>
  <c r="AO13" i="14" s="1"/>
  <c r="AW13" i="14" s="1"/>
  <c r="BE13" i="14" s="1"/>
  <c r="BM13" i="14" s="1"/>
  <c r="BU13" i="14" s="1"/>
  <c r="CC13" i="14" s="1"/>
  <c r="CK13" i="14" s="1"/>
  <c r="CS13" i="14" s="1"/>
  <c r="DA13" i="14" s="1"/>
  <c r="R13" i="14"/>
  <c r="Z13" i="14" s="1"/>
  <c r="AH13" i="14" s="1"/>
  <c r="AP13" i="14" s="1"/>
  <c r="AX13" i="14" s="1"/>
  <c r="BF13" i="14" s="1"/>
  <c r="BN13" i="14" s="1"/>
  <c r="BV13" i="14" s="1"/>
  <c r="CD13" i="14" s="1"/>
  <c r="CL13" i="14" s="1"/>
  <c r="CT13" i="14" s="1"/>
  <c r="DB13" i="14" s="1"/>
  <c r="Q13" i="14"/>
  <c r="P13" i="14"/>
  <c r="X13" i="14" s="1"/>
  <c r="AF13" i="14" s="1"/>
  <c r="AN13" i="14" s="1"/>
  <c r="AV13" i="14" s="1"/>
  <c r="BD13" i="14" s="1"/>
  <c r="BL13" i="14" s="1"/>
  <c r="BT13" i="14" s="1"/>
  <c r="CB13" i="14" s="1"/>
  <c r="CJ13" i="14" s="1"/>
  <c r="CR13" i="14" s="1"/>
  <c r="CZ13" i="14" s="1"/>
  <c r="O13" i="14"/>
  <c r="W13" i="14" s="1"/>
  <c r="AE13" i="14" s="1"/>
  <c r="AM13" i="14" s="1"/>
  <c r="AU13" i="14" s="1"/>
  <c r="BC13" i="14" s="1"/>
  <c r="BK13" i="14" s="1"/>
  <c r="BS13" i="14" s="1"/>
  <c r="CA13" i="14" s="1"/>
  <c r="CI13" i="14" s="1"/>
  <c r="CQ13" i="14" s="1"/>
  <c r="CY13" i="14" s="1"/>
  <c r="N13" i="14"/>
  <c r="V13" i="14" s="1"/>
  <c r="AD13" i="14" s="1"/>
  <c r="AL13" i="14" s="1"/>
  <c r="AT13" i="14" s="1"/>
  <c r="BB13" i="14" s="1"/>
  <c r="C13" i="14"/>
  <c r="V12" i="14"/>
  <c r="AD12" i="14" s="1"/>
  <c r="AL12" i="14" s="1"/>
  <c r="AT12" i="14" s="1"/>
  <c r="BB12" i="14" s="1"/>
  <c r="BJ12" i="14" s="1"/>
  <c r="BR12" i="14" s="1"/>
  <c r="BZ12" i="14" s="1"/>
  <c r="CH12" i="14" s="1"/>
  <c r="CP12" i="14" s="1"/>
  <c r="CX12" i="14" s="1"/>
  <c r="R12" i="14"/>
  <c r="Z12" i="14" s="1"/>
  <c r="AH12" i="14" s="1"/>
  <c r="AP12" i="14" s="1"/>
  <c r="AX12" i="14" s="1"/>
  <c r="BF12" i="14" s="1"/>
  <c r="BN12" i="14" s="1"/>
  <c r="BV12" i="14" s="1"/>
  <c r="CD12" i="14" s="1"/>
  <c r="CL12" i="14" s="1"/>
  <c r="CT12" i="14" s="1"/>
  <c r="DB12" i="14" s="1"/>
  <c r="Q12" i="14"/>
  <c r="Y12" i="14" s="1"/>
  <c r="AG12" i="14" s="1"/>
  <c r="AO12" i="14" s="1"/>
  <c r="AW12" i="14" s="1"/>
  <c r="BE12" i="14" s="1"/>
  <c r="BM12" i="14" s="1"/>
  <c r="BU12" i="14" s="1"/>
  <c r="CC12" i="14" s="1"/>
  <c r="CK12" i="14" s="1"/>
  <c r="CS12" i="14" s="1"/>
  <c r="DA12" i="14" s="1"/>
  <c r="P12" i="14"/>
  <c r="X12" i="14" s="1"/>
  <c r="AF12" i="14" s="1"/>
  <c r="AN12" i="14" s="1"/>
  <c r="AV12" i="14" s="1"/>
  <c r="BD12" i="14" s="1"/>
  <c r="BL12" i="14" s="1"/>
  <c r="BT12" i="14" s="1"/>
  <c r="CB12" i="14" s="1"/>
  <c r="CJ12" i="14" s="1"/>
  <c r="CR12" i="14" s="1"/>
  <c r="CZ12" i="14" s="1"/>
  <c r="O12" i="14"/>
  <c r="W12" i="14" s="1"/>
  <c r="AE12" i="14" s="1"/>
  <c r="AM12" i="14" s="1"/>
  <c r="AU12" i="14" s="1"/>
  <c r="BC12" i="14" s="1"/>
  <c r="BK12" i="14" s="1"/>
  <c r="BS12" i="14" s="1"/>
  <c r="CA12" i="14" s="1"/>
  <c r="CI12" i="14" s="1"/>
  <c r="CQ12" i="14" s="1"/>
  <c r="CY12" i="14" s="1"/>
  <c r="N12" i="14"/>
  <c r="C12" i="14"/>
  <c r="R11" i="14"/>
  <c r="Z11" i="14" s="1"/>
  <c r="AH11" i="14" s="1"/>
  <c r="AP11" i="14" s="1"/>
  <c r="AX11" i="14" s="1"/>
  <c r="BF11" i="14" s="1"/>
  <c r="BN11" i="14" s="1"/>
  <c r="BV11" i="14" s="1"/>
  <c r="CD11" i="14" s="1"/>
  <c r="CL11" i="14" s="1"/>
  <c r="CT11" i="14" s="1"/>
  <c r="DB11" i="14" s="1"/>
  <c r="Q11" i="14"/>
  <c r="Y11" i="14" s="1"/>
  <c r="AG11" i="14" s="1"/>
  <c r="AO11" i="14" s="1"/>
  <c r="AW11" i="14" s="1"/>
  <c r="BE11" i="14" s="1"/>
  <c r="BM11" i="14" s="1"/>
  <c r="BU11" i="14" s="1"/>
  <c r="CC11" i="14" s="1"/>
  <c r="CK11" i="14" s="1"/>
  <c r="CS11" i="14" s="1"/>
  <c r="DA11" i="14" s="1"/>
  <c r="P11" i="14"/>
  <c r="X11" i="14" s="1"/>
  <c r="AF11" i="14" s="1"/>
  <c r="AN11" i="14" s="1"/>
  <c r="AV11" i="14" s="1"/>
  <c r="BD11" i="14" s="1"/>
  <c r="BL11" i="14" s="1"/>
  <c r="BT11" i="14" s="1"/>
  <c r="CB11" i="14" s="1"/>
  <c r="CJ11" i="14" s="1"/>
  <c r="CR11" i="14" s="1"/>
  <c r="CZ11" i="14" s="1"/>
  <c r="O11" i="14"/>
  <c r="W11" i="14" s="1"/>
  <c r="AE11" i="14" s="1"/>
  <c r="AM11" i="14" s="1"/>
  <c r="AU11" i="14" s="1"/>
  <c r="BC11" i="14" s="1"/>
  <c r="BK11" i="14" s="1"/>
  <c r="BS11" i="14" s="1"/>
  <c r="CA11" i="14" s="1"/>
  <c r="CI11" i="14" s="1"/>
  <c r="CQ11" i="14" s="1"/>
  <c r="CY11" i="14" s="1"/>
  <c r="N11" i="14"/>
  <c r="V11" i="14" s="1"/>
  <c r="AD11" i="14" s="1"/>
  <c r="AL11" i="14" s="1"/>
  <c r="AT11" i="14" s="1"/>
  <c r="BB11" i="14" s="1"/>
  <c r="BJ11" i="14" s="1"/>
  <c r="BR11" i="14" s="1"/>
  <c r="BZ11" i="14" s="1"/>
  <c r="CH11" i="14" s="1"/>
  <c r="CP11" i="14" s="1"/>
  <c r="CX11" i="14" s="1"/>
  <c r="C11" i="14"/>
  <c r="R10" i="14"/>
  <c r="Z10" i="14" s="1"/>
  <c r="AH10" i="14" s="1"/>
  <c r="AP10" i="14" s="1"/>
  <c r="AX10" i="14" s="1"/>
  <c r="BF10" i="14" s="1"/>
  <c r="BN10" i="14" s="1"/>
  <c r="BV10" i="14" s="1"/>
  <c r="CD10" i="14" s="1"/>
  <c r="CL10" i="14" s="1"/>
  <c r="CT10" i="14" s="1"/>
  <c r="DB10" i="14" s="1"/>
  <c r="Q10" i="14"/>
  <c r="Y10" i="14" s="1"/>
  <c r="AG10" i="14" s="1"/>
  <c r="AO10" i="14" s="1"/>
  <c r="AW10" i="14" s="1"/>
  <c r="BE10" i="14" s="1"/>
  <c r="BM10" i="14" s="1"/>
  <c r="BU10" i="14" s="1"/>
  <c r="CC10" i="14" s="1"/>
  <c r="CK10" i="14" s="1"/>
  <c r="CS10" i="14" s="1"/>
  <c r="DA10" i="14" s="1"/>
  <c r="P10" i="14"/>
  <c r="X10" i="14" s="1"/>
  <c r="AF10" i="14" s="1"/>
  <c r="AN10" i="14" s="1"/>
  <c r="AV10" i="14" s="1"/>
  <c r="BD10" i="14" s="1"/>
  <c r="BL10" i="14" s="1"/>
  <c r="BT10" i="14" s="1"/>
  <c r="CB10" i="14" s="1"/>
  <c r="CJ10" i="14" s="1"/>
  <c r="CR10" i="14" s="1"/>
  <c r="CZ10" i="14" s="1"/>
  <c r="O10" i="14"/>
  <c r="W10" i="14" s="1"/>
  <c r="AE10" i="14" s="1"/>
  <c r="AM10" i="14" s="1"/>
  <c r="AU10" i="14" s="1"/>
  <c r="BC10" i="14" s="1"/>
  <c r="BK10" i="14" s="1"/>
  <c r="BS10" i="14" s="1"/>
  <c r="CA10" i="14" s="1"/>
  <c r="CI10" i="14" s="1"/>
  <c r="CQ10" i="14" s="1"/>
  <c r="CY10" i="14" s="1"/>
  <c r="N10" i="14"/>
  <c r="V10" i="14" s="1"/>
  <c r="AD10" i="14" s="1"/>
  <c r="AL10" i="14" s="1"/>
  <c r="AT10" i="14" s="1"/>
  <c r="BB10" i="14" s="1"/>
  <c r="BJ10" i="14" s="1"/>
  <c r="BR10" i="14" s="1"/>
  <c r="BZ10" i="14" s="1"/>
  <c r="CH10" i="14" s="1"/>
  <c r="CP10" i="14" s="1"/>
  <c r="CX10" i="14" s="1"/>
  <c r="C10" i="14"/>
  <c r="R9" i="14"/>
  <c r="Z9" i="14" s="1"/>
  <c r="AH9" i="14" s="1"/>
  <c r="AP9" i="14" s="1"/>
  <c r="AX9" i="14" s="1"/>
  <c r="BF9" i="14" s="1"/>
  <c r="BN9" i="14" s="1"/>
  <c r="BV9" i="14" s="1"/>
  <c r="CD9" i="14" s="1"/>
  <c r="CL9" i="14" s="1"/>
  <c r="CT9" i="14" s="1"/>
  <c r="DB9" i="14" s="1"/>
  <c r="Q9" i="14"/>
  <c r="Y9" i="14" s="1"/>
  <c r="AG9" i="14" s="1"/>
  <c r="AO9" i="14" s="1"/>
  <c r="AW9" i="14" s="1"/>
  <c r="BE9" i="14" s="1"/>
  <c r="BM9" i="14" s="1"/>
  <c r="BU9" i="14" s="1"/>
  <c r="CC9" i="14" s="1"/>
  <c r="CK9" i="14" s="1"/>
  <c r="CS9" i="14" s="1"/>
  <c r="DA9" i="14" s="1"/>
  <c r="P9" i="14"/>
  <c r="X9" i="14" s="1"/>
  <c r="AF9" i="14" s="1"/>
  <c r="AN9" i="14" s="1"/>
  <c r="AV9" i="14" s="1"/>
  <c r="BD9" i="14" s="1"/>
  <c r="BL9" i="14" s="1"/>
  <c r="BT9" i="14" s="1"/>
  <c r="CB9" i="14" s="1"/>
  <c r="CJ9" i="14" s="1"/>
  <c r="CR9" i="14" s="1"/>
  <c r="CZ9" i="14" s="1"/>
  <c r="O9" i="14"/>
  <c r="W9" i="14" s="1"/>
  <c r="AE9" i="14" s="1"/>
  <c r="AM9" i="14" s="1"/>
  <c r="AU9" i="14" s="1"/>
  <c r="BC9" i="14" s="1"/>
  <c r="BK9" i="14" s="1"/>
  <c r="BS9" i="14" s="1"/>
  <c r="CA9" i="14" s="1"/>
  <c r="CI9" i="14" s="1"/>
  <c r="CQ9" i="14" s="1"/>
  <c r="CY9" i="14" s="1"/>
  <c r="N9" i="14"/>
  <c r="V9" i="14" s="1"/>
  <c r="AD9" i="14" s="1"/>
  <c r="AL9" i="14" s="1"/>
  <c r="AT9" i="14" s="1"/>
  <c r="BB9" i="14" s="1"/>
  <c r="BJ9" i="14" s="1"/>
  <c r="BR9" i="14" s="1"/>
  <c r="BZ9" i="14" s="1"/>
  <c r="CH9" i="14" s="1"/>
  <c r="CP9" i="14" s="1"/>
  <c r="CX9" i="14" s="1"/>
  <c r="C9" i="14"/>
  <c r="AF8" i="14"/>
  <c r="AN8" i="14" s="1"/>
  <c r="AV8" i="14" s="1"/>
  <c r="BD8" i="14" s="1"/>
  <c r="BL8" i="14" s="1"/>
  <c r="BT8" i="14" s="1"/>
  <c r="CB8" i="14" s="1"/>
  <c r="CJ8" i="14" s="1"/>
  <c r="CR8" i="14" s="1"/>
  <c r="CZ8" i="14" s="1"/>
  <c r="V8" i="14"/>
  <c r="AD8" i="14" s="1"/>
  <c r="AL8" i="14" s="1"/>
  <c r="AT8" i="14" s="1"/>
  <c r="BB8" i="14" s="1"/>
  <c r="BJ8" i="14" s="1"/>
  <c r="BR8" i="14" s="1"/>
  <c r="BZ8" i="14" s="1"/>
  <c r="CH8" i="14" s="1"/>
  <c r="CP8" i="14" s="1"/>
  <c r="CX8" i="14" s="1"/>
  <c r="R8" i="14"/>
  <c r="Z8" i="14" s="1"/>
  <c r="AH8" i="14" s="1"/>
  <c r="AP8" i="14" s="1"/>
  <c r="AX8" i="14" s="1"/>
  <c r="BF8" i="14" s="1"/>
  <c r="BN8" i="14" s="1"/>
  <c r="BV8" i="14" s="1"/>
  <c r="CD8" i="14" s="1"/>
  <c r="CL8" i="14" s="1"/>
  <c r="CT8" i="14" s="1"/>
  <c r="DB8" i="14" s="1"/>
  <c r="Q8" i="14"/>
  <c r="Y8" i="14" s="1"/>
  <c r="AG8" i="14" s="1"/>
  <c r="AO8" i="14" s="1"/>
  <c r="AW8" i="14" s="1"/>
  <c r="BE8" i="14" s="1"/>
  <c r="BM8" i="14" s="1"/>
  <c r="BU8" i="14" s="1"/>
  <c r="CC8" i="14" s="1"/>
  <c r="CK8" i="14" s="1"/>
  <c r="CS8" i="14" s="1"/>
  <c r="DA8" i="14" s="1"/>
  <c r="P8" i="14"/>
  <c r="X8" i="14" s="1"/>
  <c r="O8" i="14"/>
  <c r="W8" i="14" s="1"/>
  <c r="AE8" i="14" s="1"/>
  <c r="AM8" i="14" s="1"/>
  <c r="AU8" i="14" s="1"/>
  <c r="BC8" i="14" s="1"/>
  <c r="BK8" i="14" s="1"/>
  <c r="BS8" i="14" s="1"/>
  <c r="CA8" i="14" s="1"/>
  <c r="CI8" i="14" s="1"/>
  <c r="CQ8" i="14" s="1"/>
  <c r="CY8" i="14" s="1"/>
  <c r="N8" i="14"/>
  <c r="C8" i="14"/>
  <c r="Z7" i="14"/>
  <c r="R7" i="14"/>
  <c r="Q7" i="14"/>
  <c r="P7" i="14"/>
  <c r="X7" i="14" s="1"/>
  <c r="O7" i="14"/>
  <c r="N7" i="14"/>
  <c r="C7" i="14"/>
  <c r="CX4" i="14"/>
  <c r="CP4" i="14"/>
  <c r="CH4" i="14"/>
  <c r="BZ4" i="14"/>
  <c r="BR4" i="14"/>
  <c r="BJ4" i="14"/>
  <c r="BB4" i="14"/>
  <c r="AT4" i="14"/>
  <c r="AL4" i="14"/>
  <c r="AD4" i="14"/>
  <c r="V4" i="14"/>
  <c r="N4" i="14"/>
  <c r="F4" i="14"/>
  <c r="K20" i="6" l="1"/>
  <c r="G20" i="6"/>
  <c r="G36" i="6"/>
  <c r="K12" i="6"/>
  <c r="K36" i="6"/>
  <c r="K28" i="6"/>
  <c r="G12" i="6"/>
  <c r="AH7" i="15"/>
  <c r="AG7" i="15"/>
  <c r="W7" i="15"/>
  <c r="X7" i="15"/>
  <c r="V7" i="15"/>
  <c r="CP7" i="15"/>
  <c r="CP10" i="15" s="1"/>
  <c r="BZ12" i="15"/>
  <c r="BR4" i="15"/>
  <c r="BJ4" i="15"/>
  <c r="V4" i="15"/>
  <c r="AD4" i="15"/>
  <c r="CH4" i="15"/>
  <c r="AL4" i="15"/>
  <c r="CP4" i="15"/>
  <c r="AT4" i="15"/>
  <c r="CX4" i="15"/>
  <c r="F4" i="15"/>
  <c r="BB4" i="15"/>
  <c r="DF4" i="15"/>
  <c r="N4" i="15"/>
  <c r="S11" i="15"/>
  <c r="C11" i="6" s="1"/>
  <c r="AI11" i="15"/>
  <c r="CM11" i="15"/>
  <c r="DC11" i="15"/>
  <c r="DK11" i="15"/>
  <c r="AY11" i="15"/>
  <c r="BO11" i="15"/>
  <c r="C27" i="6" s="1"/>
  <c r="R14" i="15"/>
  <c r="AQ11" i="15"/>
  <c r="C19" i="6" s="1"/>
  <c r="BW11" i="15"/>
  <c r="CU11" i="15"/>
  <c r="C35" i="6" s="1"/>
  <c r="N14" i="15"/>
  <c r="AA11" i="15"/>
  <c r="BG11" i="15"/>
  <c r="O14" i="15"/>
  <c r="P14" i="15"/>
  <c r="Q14" i="15"/>
  <c r="Y14" i="15"/>
  <c r="V14" i="15"/>
  <c r="AH13" i="15"/>
  <c r="Z14" i="15"/>
  <c r="X14" i="15"/>
  <c r="I12" i="15"/>
  <c r="H12" i="15"/>
  <c r="I38" i="14"/>
  <c r="K11" i="15"/>
  <c r="F12" i="15"/>
  <c r="G12" i="15"/>
  <c r="J12" i="15"/>
  <c r="N13" i="15"/>
  <c r="Y12" i="15"/>
  <c r="Y13" i="15"/>
  <c r="P13" i="15"/>
  <c r="P12" i="15"/>
  <c r="Z12" i="15"/>
  <c r="Z13" i="15"/>
  <c r="X13" i="15"/>
  <c r="O13" i="15"/>
  <c r="O12" i="15"/>
  <c r="Q13" i="15"/>
  <c r="Q12" i="15"/>
  <c r="R13" i="15"/>
  <c r="R12" i="15"/>
  <c r="O39" i="14"/>
  <c r="O36" i="14"/>
  <c r="O38" i="14" s="1"/>
  <c r="Z36" i="14"/>
  <c r="Z38" i="14" s="1"/>
  <c r="Z40" i="14"/>
  <c r="Q40" i="14"/>
  <c r="Z39" i="14"/>
  <c r="AH7" i="14"/>
  <c r="X36" i="14"/>
  <c r="X38" i="14" s="1"/>
  <c r="X39" i="14"/>
  <c r="X40" i="14"/>
  <c r="O40" i="14"/>
  <c r="P39" i="14"/>
  <c r="P36" i="14"/>
  <c r="P38" i="14" s="1"/>
  <c r="F40" i="14"/>
  <c r="AF7" i="14"/>
  <c r="G40" i="14"/>
  <c r="Q39" i="14"/>
  <c r="Q36" i="14"/>
  <c r="Q38" i="14" s="1"/>
  <c r="Y7" i="14"/>
  <c r="N39" i="14"/>
  <c r="N36" i="14"/>
  <c r="V7" i="14"/>
  <c r="W7" i="14"/>
  <c r="R39" i="14"/>
  <c r="R36" i="14"/>
  <c r="R38" i="14" s="1"/>
  <c r="H40" i="14"/>
  <c r="G38" i="14"/>
  <c r="K36" i="14"/>
  <c r="X12" i="15" l="1"/>
  <c r="AF7" i="15"/>
  <c r="W12" i="15"/>
  <c r="AE7" i="15"/>
  <c r="AO7" i="15"/>
  <c r="AG12" i="15"/>
  <c r="W14" i="15"/>
  <c r="W13" i="15"/>
  <c r="AD7" i="15"/>
  <c r="AP7" i="15"/>
  <c r="CX7" i="15"/>
  <c r="CX10" i="15" s="1"/>
  <c r="DC10" i="15" s="1"/>
  <c r="AH12" i="15"/>
  <c r="AG14" i="15"/>
  <c r="AG13" i="15"/>
  <c r="AH14" i="15"/>
  <c r="AE14" i="15"/>
  <c r="AF14" i="15"/>
  <c r="AD14" i="15"/>
  <c r="K12" i="15"/>
  <c r="N12" i="15"/>
  <c r="S10" i="15"/>
  <c r="V13" i="15"/>
  <c r="AE13" i="15"/>
  <c r="AF13" i="15"/>
  <c r="K38" i="14"/>
  <c r="V40" i="14"/>
  <c r="V36" i="14"/>
  <c r="V39" i="14"/>
  <c r="AD7" i="14"/>
  <c r="N38" i="14"/>
  <c r="S36" i="14"/>
  <c r="S38" i="14" s="1"/>
  <c r="AF36" i="14"/>
  <c r="AF38" i="14" s="1"/>
  <c r="AF39" i="14"/>
  <c r="AN7" i="14"/>
  <c r="W39" i="14"/>
  <c r="N40" i="14"/>
  <c r="W36" i="14"/>
  <c r="W38" i="14" s="1"/>
  <c r="AE7" i="14"/>
  <c r="W40" i="14"/>
  <c r="Y39" i="14"/>
  <c r="Y40" i="14"/>
  <c r="P40" i="14"/>
  <c r="Y36" i="14"/>
  <c r="Y38" i="14" s="1"/>
  <c r="AG7" i="14"/>
  <c r="AH36" i="14"/>
  <c r="AH38" i="14" s="1"/>
  <c r="AH39" i="14"/>
  <c r="AP7" i="14"/>
  <c r="AO12" i="15" l="1"/>
  <c r="AW7" i="15"/>
  <c r="AM7" i="15"/>
  <c r="AE12" i="15"/>
  <c r="AO14" i="15"/>
  <c r="AL7" i="15"/>
  <c r="AO13" i="15"/>
  <c r="AN7" i="15"/>
  <c r="AF12" i="15"/>
  <c r="AX7" i="15"/>
  <c r="DF7" i="15"/>
  <c r="DF10" i="15" s="1"/>
  <c r="AW14" i="15"/>
  <c r="AP14" i="15"/>
  <c r="AL14" i="15"/>
  <c r="AP13" i="15"/>
  <c r="AP12" i="15"/>
  <c r="AN13" i="15"/>
  <c r="AX13" i="15"/>
  <c r="V12" i="15"/>
  <c r="AA10" i="15"/>
  <c r="AD13" i="15"/>
  <c r="S12" i="15"/>
  <c r="AM13" i="15"/>
  <c r="AW13" i="15"/>
  <c r="AN40" i="14"/>
  <c r="AE40" i="14"/>
  <c r="AN36" i="14"/>
  <c r="AN38" i="14" s="1"/>
  <c r="AN39" i="14"/>
  <c r="AV7" i="14"/>
  <c r="V38" i="14"/>
  <c r="AA36" i="14"/>
  <c r="AA38" i="14" s="1"/>
  <c r="AD39" i="14"/>
  <c r="AD36" i="14"/>
  <c r="AL7" i="14"/>
  <c r="AE36" i="14"/>
  <c r="AE38" i="14" s="1"/>
  <c r="AE39" i="14"/>
  <c r="AM7" i="14"/>
  <c r="AG39" i="14"/>
  <c r="AG36" i="14"/>
  <c r="AG38" i="14" s="1"/>
  <c r="AO7" i="14"/>
  <c r="AP36" i="14"/>
  <c r="AP38" i="14" s="1"/>
  <c r="AP39" i="14"/>
  <c r="AP40" i="14"/>
  <c r="AG40" i="14"/>
  <c r="AX7" i="14"/>
  <c r="BF7" i="15" l="1"/>
  <c r="AX12" i="15"/>
  <c r="AX14" i="15"/>
  <c r="AN12" i="15"/>
  <c r="AV7" i="15"/>
  <c r="AN14" i="15"/>
  <c r="AM12" i="15"/>
  <c r="AU7" i="15"/>
  <c r="AM14" i="15"/>
  <c r="BE7" i="15"/>
  <c r="AW12" i="15"/>
  <c r="AT7" i="15"/>
  <c r="BE14" i="15"/>
  <c r="C10" i="6"/>
  <c r="C12" i="6" s="1"/>
  <c r="AA12" i="15"/>
  <c r="BF13" i="15"/>
  <c r="AD12" i="15"/>
  <c r="AU13" i="15"/>
  <c r="AL13" i="15"/>
  <c r="AV39" i="14"/>
  <c r="AV36" i="14"/>
  <c r="AV38" i="14" s="1"/>
  <c r="BD7" i="14"/>
  <c r="AX36" i="14"/>
  <c r="AX38" i="14" s="1"/>
  <c r="AX39" i="14"/>
  <c r="BF7" i="14"/>
  <c r="AL40" i="14"/>
  <c r="AL36" i="14"/>
  <c r="AL39" i="14"/>
  <c r="AT7" i="14"/>
  <c r="AD38" i="14"/>
  <c r="AI36" i="14"/>
  <c r="AO39" i="14"/>
  <c r="AO40" i="14"/>
  <c r="AO36" i="14"/>
  <c r="AO38" i="14" s="1"/>
  <c r="AF40" i="14"/>
  <c r="AW7" i="14"/>
  <c r="AM39" i="14"/>
  <c r="AM40" i="14"/>
  <c r="AD40" i="14"/>
  <c r="AM36" i="14"/>
  <c r="AM38" i="14" s="1"/>
  <c r="AU7" i="14"/>
  <c r="BD7" i="15" l="1"/>
  <c r="AV12" i="15"/>
  <c r="AV14" i="15"/>
  <c r="BE12" i="15"/>
  <c r="BM7" i="15"/>
  <c r="AV13" i="15"/>
  <c r="BE13" i="15"/>
  <c r="BC7" i="15"/>
  <c r="AU12" i="15"/>
  <c r="AU14" i="15"/>
  <c r="BB7" i="15"/>
  <c r="AT14" i="15"/>
  <c r="BF12" i="15"/>
  <c r="BN7" i="15"/>
  <c r="BF14" i="15"/>
  <c r="CP14" i="15"/>
  <c r="CH14" i="15"/>
  <c r="AI12" i="15"/>
  <c r="AL12" i="15"/>
  <c r="AQ10" i="15"/>
  <c r="AT13" i="15"/>
  <c r="BN13" i="15"/>
  <c r="BD13" i="15"/>
  <c r="BC13" i="15"/>
  <c r="AW39" i="14"/>
  <c r="AW36" i="14"/>
  <c r="AW38" i="14" s="1"/>
  <c r="BE7" i="14"/>
  <c r="AT39" i="14"/>
  <c r="AT36" i="14"/>
  <c r="BB7" i="14"/>
  <c r="AU39" i="14"/>
  <c r="AU36" i="14"/>
  <c r="AU38" i="14" s="1"/>
  <c r="BC7" i="14"/>
  <c r="BD39" i="14"/>
  <c r="BD40" i="14"/>
  <c r="AU40" i="14"/>
  <c r="BD36" i="14"/>
  <c r="BD38" i="14" s="1"/>
  <c r="BL7" i="14"/>
  <c r="BF40" i="14"/>
  <c r="AW40" i="14"/>
  <c r="BF36" i="14"/>
  <c r="BF38" i="14" s="1"/>
  <c r="BF39" i="14"/>
  <c r="BN7" i="14"/>
  <c r="AL38" i="14"/>
  <c r="AQ36" i="14"/>
  <c r="AQ38" i="14" s="1"/>
  <c r="AI38" i="14"/>
  <c r="BJ7" i="15" l="1"/>
  <c r="BB14" i="15"/>
  <c r="BU7" i="15"/>
  <c r="BM12" i="15"/>
  <c r="BM14" i="15"/>
  <c r="BV7" i="15"/>
  <c r="BN12" i="15"/>
  <c r="BN14" i="15"/>
  <c r="BC12" i="15"/>
  <c r="BK7" i="15"/>
  <c r="BC14" i="15"/>
  <c r="BM13" i="15"/>
  <c r="BD12" i="15"/>
  <c r="BL7" i="15"/>
  <c r="BD14" i="15"/>
  <c r="C18" i="6"/>
  <c r="C20" i="6" s="1"/>
  <c r="CX14" i="15"/>
  <c r="BV13" i="15"/>
  <c r="BB13" i="15"/>
  <c r="AQ12" i="15"/>
  <c r="BL13" i="15"/>
  <c r="AT12" i="15"/>
  <c r="BU13" i="15"/>
  <c r="AT38" i="14"/>
  <c r="AY36" i="14"/>
  <c r="BE39" i="14"/>
  <c r="BE40" i="14"/>
  <c r="AV40" i="14"/>
  <c r="BE36" i="14"/>
  <c r="BE38" i="14" s="1"/>
  <c r="BM7" i="14"/>
  <c r="BL39" i="14"/>
  <c r="BL36" i="14"/>
  <c r="BL38" i="14" s="1"/>
  <c r="BT7" i="14"/>
  <c r="BB39" i="14"/>
  <c r="BB40" i="14"/>
  <c r="BB36" i="14"/>
  <c r="BJ7" i="14"/>
  <c r="BC39" i="14"/>
  <c r="BC40" i="14"/>
  <c r="AT40" i="14"/>
  <c r="BC36" i="14"/>
  <c r="BC38" i="14" s="1"/>
  <c r="BK7" i="14"/>
  <c r="BN39" i="14"/>
  <c r="BN36" i="14"/>
  <c r="BN38" i="14" s="1"/>
  <c r="BV7" i="14"/>
  <c r="BK12" i="15" l="1"/>
  <c r="BS7" i="15"/>
  <c r="BK14" i="15"/>
  <c r="BU12" i="15"/>
  <c r="CC7" i="15"/>
  <c r="BU14" i="15"/>
  <c r="BL12" i="15"/>
  <c r="BT7" i="15"/>
  <c r="BL14" i="15"/>
  <c r="BR7" i="15"/>
  <c r="BJ14" i="15"/>
  <c r="BK13" i="15"/>
  <c r="BV12" i="15"/>
  <c r="CD7" i="15"/>
  <c r="BV14" i="15"/>
  <c r="DF14" i="15"/>
  <c r="AY12" i="15"/>
  <c r="BB12" i="15"/>
  <c r="BG10" i="15"/>
  <c r="BT13" i="15"/>
  <c r="BS13" i="15"/>
  <c r="BJ13" i="15"/>
  <c r="BV36" i="14"/>
  <c r="BV38" i="14" s="1"/>
  <c r="BV39" i="14"/>
  <c r="BV40" i="14"/>
  <c r="BM40" i="14"/>
  <c r="CD7" i="14"/>
  <c r="BJ39" i="14"/>
  <c r="BJ36" i="14"/>
  <c r="BR7" i="14"/>
  <c r="BK39" i="14"/>
  <c r="BK36" i="14"/>
  <c r="BK38" i="14" s="1"/>
  <c r="BS7" i="14"/>
  <c r="BB38" i="14"/>
  <c r="BG36" i="14"/>
  <c r="BG38" i="14" s="1"/>
  <c r="BM39" i="14"/>
  <c r="BM36" i="14"/>
  <c r="BM38" i="14" s="1"/>
  <c r="BU7" i="14"/>
  <c r="AY38" i="14"/>
  <c r="BT36" i="14"/>
  <c r="BT38" i="14" s="1"/>
  <c r="BT39" i="14"/>
  <c r="BT40" i="14"/>
  <c r="BK40" i="14"/>
  <c r="CB7" i="14"/>
  <c r="CC13" i="15" l="1"/>
  <c r="CK7" i="15"/>
  <c r="CC14" i="15"/>
  <c r="CC12" i="15"/>
  <c r="BR14" i="15"/>
  <c r="CL7" i="15"/>
  <c r="CD14" i="15"/>
  <c r="CD12" i="15"/>
  <c r="CD13" i="15"/>
  <c r="BT12" i="15"/>
  <c r="CB7" i="15"/>
  <c r="BT14" i="15"/>
  <c r="BS12" i="15"/>
  <c r="CA7" i="15"/>
  <c r="BS14" i="15"/>
  <c r="BG12" i="15"/>
  <c r="BR13" i="15"/>
  <c r="BJ12" i="15"/>
  <c r="BS39" i="14"/>
  <c r="BJ40" i="14"/>
  <c r="BS36" i="14"/>
  <c r="BS38" i="14" s="1"/>
  <c r="BS40" i="14"/>
  <c r="CA7" i="14"/>
  <c r="CD36" i="14"/>
  <c r="CD38" i="14" s="1"/>
  <c r="CD39" i="14"/>
  <c r="CL7" i="14"/>
  <c r="BR40" i="14"/>
  <c r="BR36" i="14"/>
  <c r="BR39" i="14"/>
  <c r="BZ7" i="14"/>
  <c r="CB36" i="14"/>
  <c r="CB38" i="14" s="1"/>
  <c r="CB39" i="14"/>
  <c r="CJ7" i="14"/>
  <c r="BU39" i="14"/>
  <c r="BU40" i="14"/>
  <c r="BL40" i="14"/>
  <c r="BU36" i="14"/>
  <c r="BU38" i="14" s="1"/>
  <c r="CC7" i="14"/>
  <c r="BJ38" i="14"/>
  <c r="BO36" i="14"/>
  <c r="CB12" i="15" l="1"/>
  <c r="CB14" i="15"/>
  <c r="CJ7" i="15"/>
  <c r="CB13" i="15"/>
  <c r="CI7" i="15"/>
  <c r="CA13" i="15"/>
  <c r="CA14" i="15"/>
  <c r="CS7" i="15"/>
  <c r="CK12" i="15"/>
  <c r="CK14" i="15"/>
  <c r="CK13" i="15"/>
  <c r="CT7" i="15"/>
  <c r="CL12" i="15"/>
  <c r="CL14" i="15"/>
  <c r="CL13" i="15"/>
  <c r="C26" i="6"/>
  <c r="C28" i="6" s="1"/>
  <c r="CH13" i="15"/>
  <c r="BR12" i="15"/>
  <c r="BW10" i="15"/>
  <c r="BO12" i="15"/>
  <c r="BO38" i="14"/>
  <c r="CJ40" i="14"/>
  <c r="CA40" i="14"/>
  <c r="CJ36" i="14"/>
  <c r="CJ38" i="14" s="1"/>
  <c r="CJ39" i="14"/>
  <c r="CR7" i="14"/>
  <c r="CA36" i="14"/>
  <c r="CA38" i="14" s="1"/>
  <c r="CA39" i="14"/>
  <c r="CI7" i="14"/>
  <c r="BR38" i="14"/>
  <c r="BW36" i="14"/>
  <c r="BW38" i="14" s="1"/>
  <c r="CC39" i="14"/>
  <c r="CC36" i="14"/>
  <c r="CC38" i="14" s="1"/>
  <c r="CK7" i="14"/>
  <c r="CL36" i="14"/>
  <c r="CL38" i="14" s="1"/>
  <c r="CL39" i="14"/>
  <c r="CL40" i="14"/>
  <c r="CC40" i="14"/>
  <c r="CT7" i="14"/>
  <c r="BZ39" i="14"/>
  <c r="BZ36" i="14"/>
  <c r="CH7" i="14"/>
  <c r="CQ7" i="15" l="1"/>
  <c r="CI12" i="15"/>
  <c r="CI14" i="15"/>
  <c r="CI13" i="15"/>
  <c r="CS12" i="15"/>
  <c r="DA7" i="15"/>
  <c r="CS14" i="15"/>
  <c r="CS13" i="15"/>
  <c r="CR7" i="15"/>
  <c r="CJ12" i="15"/>
  <c r="CJ14" i="15"/>
  <c r="CJ13" i="15"/>
  <c r="CA12" i="15"/>
  <c r="CE10" i="15"/>
  <c r="CE12" i="15" s="1"/>
  <c r="CT12" i="15"/>
  <c r="DB7" i="15"/>
  <c r="CT14" i="15"/>
  <c r="CT13" i="15"/>
  <c r="BW12" i="15"/>
  <c r="CP13" i="15"/>
  <c r="CH12" i="15"/>
  <c r="CH39" i="14"/>
  <c r="CH40" i="14"/>
  <c r="CH36" i="14"/>
  <c r="CP7" i="14"/>
  <c r="CI39" i="14"/>
  <c r="CI40" i="14"/>
  <c r="BZ40" i="14"/>
  <c r="CI36" i="14"/>
  <c r="CI38" i="14" s="1"/>
  <c r="CQ7" i="14"/>
  <c r="CK39" i="14"/>
  <c r="CK40" i="14"/>
  <c r="CK36" i="14"/>
  <c r="CK38" i="14" s="1"/>
  <c r="CB40" i="14"/>
  <c r="CS7" i="14"/>
  <c r="CT36" i="14"/>
  <c r="CT38" i="14" s="1"/>
  <c r="CT39" i="14"/>
  <c r="DB7" i="14"/>
  <c r="BZ38" i="14"/>
  <c r="CE36" i="14"/>
  <c r="CE38" i="14" s="1"/>
  <c r="CR39" i="14"/>
  <c r="CR36" i="14"/>
  <c r="CR38" i="14" s="1"/>
  <c r="CZ7" i="14"/>
  <c r="DI7" i="15" l="1"/>
  <c r="DA12" i="15"/>
  <c r="DA14" i="15"/>
  <c r="DA13" i="15"/>
  <c r="DB12" i="15"/>
  <c r="DJ7" i="15"/>
  <c r="DB14" i="15"/>
  <c r="DB13" i="15"/>
  <c r="CR12" i="15"/>
  <c r="CZ7" i="15"/>
  <c r="CR14" i="15"/>
  <c r="CR13" i="15"/>
  <c r="CQ12" i="15"/>
  <c r="CY7" i="15"/>
  <c r="CQ14" i="15"/>
  <c r="CQ13" i="15"/>
  <c r="CM12" i="15"/>
  <c r="CX13" i="15"/>
  <c r="CP12" i="15"/>
  <c r="CU10" i="15"/>
  <c r="CP39" i="14"/>
  <c r="CP36" i="14"/>
  <c r="CX7" i="14"/>
  <c r="CZ39" i="14"/>
  <c r="CZ40" i="14"/>
  <c r="CQ40" i="14"/>
  <c r="CZ36" i="14"/>
  <c r="CZ38" i="14" s="1"/>
  <c r="CQ39" i="14"/>
  <c r="CQ36" i="14"/>
  <c r="CQ38" i="14" s="1"/>
  <c r="CY7" i="14"/>
  <c r="CH38" i="14"/>
  <c r="CM36" i="14"/>
  <c r="DB40" i="14"/>
  <c r="CS40" i="14"/>
  <c r="DB36" i="14"/>
  <c r="DB38" i="14" s="1"/>
  <c r="DB39" i="14"/>
  <c r="CS39" i="14"/>
  <c r="CS36" i="14"/>
  <c r="CS38" i="14" s="1"/>
  <c r="DA7" i="14"/>
  <c r="DJ12" i="15" l="1"/>
  <c r="DJ14" i="15"/>
  <c r="DJ13" i="15"/>
  <c r="DH7" i="15"/>
  <c r="CZ12" i="15"/>
  <c r="CZ14" i="15"/>
  <c r="CZ13" i="15"/>
  <c r="DG7" i="15"/>
  <c r="CY12" i="15"/>
  <c r="CY14" i="15"/>
  <c r="CY13" i="15"/>
  <c r="DI12" i="15"/>
  <c r="DI14" i="15"/>
  <c r="DI13" i="15"/>
  <c r="CU12" i="15"/>
  <c r="CX12" i="15"/>
  <c r="DF13" i="15"/>
  <c r="CM38" i="14"/>
  <c r="CY39" i="14"/>
  <c r="CY40" i="14"/>
  <c r="CP40" i="14"/>
  <c r="CY36" i="14"/>
  <c r="CY38" i="14" s="1"/>
  <c r="CX39" i="14"/>
  <c r="CX40" i="14"/>
  <c r="CX36" i="14"/>
  <c r="CP38" i="14"/>
  <c r="CU36" i="14"/>
  <c r="CU38" i="14" s="1"/>
  <c r="DA39" i="14"/>
  <c r="DA40" i="14"/>
  <c r="CR40" i="14"/>
  <c r="DA36" i="14"/>
  <c r="DA38" i="14" s="1"/>
  <c r="DH12" i="15" l="1"/>
  <c r="DH14" i="15"/>
  <c r="DH13" i="15"/>
  <c r="DG12" i="15"/>
  <c r="DG14" i="15"/>
  <c r="DG13" i="15"/>
  <c r="C34" i="6"/>
  <c r="C36" i="6" s="1"/>
  <c r="DC12" i="15"/>
  <c r="DF12" i="15"/>
  <c r="CX38" i="14"/>
  <c r="DC36" i="14"/>
  <c r="DC38" i="14" s="1"/>
  <c r="D36" i="14"/>
  <c r="D38" i="14"/>
  <c r="DK10" i="15" l="1"/>
  <c r="D10" i="15" s="1"/>
  <c r="DK12" i="15"/>
  <c r="D12" i="15" l="1"/>
</calcChain>
</file>

<file path=xl/sharedStrings.xml><?xml version="1.0" encoding="utf-8"?>
<sst xmlns="http://schemas.openxmlformats.org/spreadsheetml/2006/main" count="639" uniqueCount="67">
  <si>
    <t>Mo</t>
  </si>
  <si>
    <t>Di</t>
  </si>
  <si>
    <t>Mi</t>
  </si>
  <si>
    <t>Do</t>
  </si>
  <si>
    <t>Fr</t>
  </si>
  <si>
    <t>w
m</t>
  </si>
  <si>
    <t>Name Kinder</t>
  </si>
  <si>
    <t>Total</t>
  </si>
  <si>
    <t>Auslastung in %</t>
  </si>
  <si>
    <t>Geb.</t>
  </si>
  <si>
    <t>Soll-Plätze</t>
  </si>
  <si>
    <t>Ist - Betreuungsplätze</t>
  </si>
  <si>
    <t xml:space="preserve">Auslastung in % </t>
  </si>
  <si>
    <t>S/P</t>
  </si>
  <si>
    <t>w</t>
  </si>
  <si>
    <t>m</t>
  </si>
  <si>
    <t>Kita 8 monatliche Auslastung</t>
  </si>
  <si>
    <t>s</t>
  </si>
  <si>
    <t>p</t>
  </si>
  <si>
    <t>Bemerkung</t>
  </si>
  <si>
    <t>S</t>
  </si>
  <si>
    <t xml:space="preserve">Anzahl Kinder </t>
  </si>
  <si>
    <t>Anzahl Säuglinge</t>
  </si>
  <si>
    <t>Schildis</t>
  </si>
  <si>
    <t>Chronologischer Eingang der Elternwünsche:</t>
  </si>
  <si>
    <t>Status:</t>
  </si>
  <si>
    <t>Wer:</t>
  </si>
  <si>
    <t>Vorname</t>
  </si>
  <si>
    <t>Name</t>
  </si>
  <si>
    <t>Kontakt</t>
  </si>
  <si>
    <t>Wunsch</t>
  </si>
  <si>
    <t>Gemeldet:</t>
  </si>
  <si>
    <t>Mai</t>
  </si>
  <si>
    <t>Juni</t>
  </si>
  <si>
    <t>Juli</t>
  </si>
  <si>
    <t>August</t>
  </si>
  <si>
    <t>Status</t>
  </si>
  <si>
    <t>Bearbeitung</t>
  </si>
  <si>
    <t>Zur Information für Gruppen</t>
  </si>
  <si>
    <t>Auslastung Total</t>
  </si>
  <si>
    <t>monatliche Auslastung</t>
  </si>
  <si>
    <t>Kita-Name</t>
  </si>
  <si>
    <t>Farbe</t>
  </si>
  <si>
    <t>Jahr</t>
  </si>
  <si>
    <t>Anzahl Kinder</t>
  </si>
  <si>
    <t>Gruppenname</t>
  </si>
  <si>
    <t>Kita 8</t>
  </si>
  <si>
    <t>Soll Plätze</t>
  </si>
  <si>
    <t>Flädis</t>
  </si>
  <si>
    <t>Nilis</t>
  </si>
  <si>
    <t>Jan</t>
  </si>
  <si>
    <t>Feb</t>
  </si>
  <si>
    <t>Mär</t>
  </si>
  <si>
    <t>Apr</t>
  </si>
  <si>
    <t>Sep</t>
  </si>
  <si>
    <t>Okt</t>
  </si>
  <si>
    <t>Nov</t>
  </si>
  <si>
    <t>Dez</t>
  </si>
  <si>
    <t>Februar</t>
  </si>
  <si>
    <t>März</t>
  </si>
  <si>
    <t>September</t>
  </si>
  <si>
    <t>Dezember</t>
  </si>
  <si>
    <t>November</t>
  </si>
  <si>
    <t>Änderungen</t>
  </si>
  <si>
    <t>Beschreibung</t>
  </si>
  <si>
    <t>Passwort</t>
  </si>
  <si>
    <t>GFZ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</si>
</sst>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/m/yy;@"/>
  </numFmts>
  <fonts count="18" x14ac:knownFonts="1">
    <font>
      <sz val="10"/>
      <name val="Arial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14"/>
      <color indexed="8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sz val="10"/>
      <color rgb="FFFF0000"/>
      <name val="Arial"/>
      <family val="2"/>
    </font>
    <font>
      <sz val="8"/>
      <color theme="1"/>
      <name val="Arial"/>
      <family val="2"/>
    </font>
    <font>
      <sz val="8"/>
      <color theme="9" tint="-0.249977111117893"/>
      <name val="Arial"/>
      <family val="2"/>
    </font>
    <font>
      <sz val="10"/>
      <color theme="1"/>
      <name val="Arial"/>
      <family val="2"/>
    </font>
    <font>
      <sz val="18"/>
      <color rgb="FFFF0000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10"/>
      </patternFill>
    </fill>
    <fill>
      <patternFill patternType="solid">
        <fgColor theme="0" tint="-0.14999847407452621"/>
        <bgColor indexed="1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1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solid">
        <fgColor theme="2" tint="-9.9978637043366805E-2"/>
        <bgColor indexed="1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E4D6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/>
  </cellStyleXfs>
  <cellXfs count="293">
    <xf numFmtId="0" fontId="0" fillId="0" borderId="0" xfId="0"/>
    <xf numFmtId="0" fontId="3" fillId="2" borderId="1" xfId="0" applyFont="1" applyFill="1" applyBorder="1"/>
    <xf numFmtId="164" fontId="0" fillId="0" borderId="1" xfId="0" applyNumberFormat="1" applyBorder="1"/>
    <xf numFmtId="0" fontId="4" fillId="0" borderId="0" xfId="0" applyFont="1"/>
    <xf numFmtId="0" fontId="12" fillId="0" borderId="0" xfId="0" applyFont="1"/>
    <xf numFmtId="0" fontId="6" fillId="0" borderId="0" xfId="0" applyFont="1"/>
    <xf numFmtId="0" fontId="7" fillId="0" borderId="0" xfId="0" applyFont="1"/>
    <xf numFmtId="0" fontId="8" fillId="4" borderId="2" xfId="0" applyFont="1" applyFill="1" applyBorder="1"/>
    <xf numFmtId="0" fontId="7" fillId="4" borderId="1" xfId="0" applyFont="1" applyFill="1" applyBorder="1"/>
    <xf numFmtId="0" fontId="7" fillId="3" borderId="1" xfId="0" applyFont="1" applyFill="1" applyBorder="1"/>
    <xf numFmtId="0" fontId="4" fillId="5" borderId="1" xfId="0" applyFont="1" applyFill="1" applyBorder="1"/>
    <xf numFmtId="2" fontId="2" fillId="6" borderId="1" xfId="0" applyNumberFormat="1" applyFont="1" applyFill="1" applyBorder="1" applyAlignment="1">
      <alignment horizontal="left"/>
    </xf>
    <xf numFmtId="0" fontId="2" fillId="0" borderId="3" xfId="0" applyFont="1" applyBorder="1"/>
    <xf numFmtId="0" fontId="2" fillId="6" borderId="4" xfId="0" applyFont="1" applyFill="1" applyBorder="1"/>
    <xf numFmtId="0" fontId="2" fillId="6" borderId="3" xfId="0" applyFont="1" applyFill="1" applyBorder="1"/>
    <xf numFmtId="0" fontId="0" fillId="6" borderId="0" xfId="0" applyFill="1"/>
    <xf numFmtId="2" fontId="2" fillId="7" borderId="1" xfId="0" applyNumberFormat="1" applyFont="1" applyFill="1" applyBorder="1" applyAlignment="1">
      <alignment horizontal="center"/>
    </xf>
    <xf numFmtId="2" fontId="13" fillId="7" borderId="1" xfId="0" applyNumberFormat="1" applyFont="1" applyFill="1" applyBorder="1" applyAlignment="1">
      <alignment horizontal="center"/>
    </xf>
    <xf numFmtId="0" fontId="4" fillId="7" borderId="1" xfId="0" applyFont="1" applyFill="1" applyBorder="1"/>
    <xf numFmtId="2" fontId="2" fillId="9" borderId="1" xfId="0" applyNumberFormat="1" applyFont="1" applyFill="1" applyBorder="1" applyAlignment="1">
      <alignment horizontal="center"/>
    </xf>
    <xf numFmtId="2" fontId="13" fillId="9" borderId="1" xfId="0" applyNumberFormat="1" applyFont="1" applyFill="1" applyBorder="1" applyAlignment="1">
      <alignment horizontal="center"/>
    </xf>
    <xf numFmtId="0" fontId="4" fillId="9" borderId="1" xfId="0" applyFont="1" applyFill="1" applyBorder="1"/>
    <xf numFmtId="164" fontId="4" fillId="9" borderId="1" xfId="0" applyNumberFormat="1" applyFont="1" applyFill="1" applyBorder="1"/>
    <xf numFmtId="0" fontId="2" fillId="7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center"/>
    </xf>
    <xf numFmtId="0" fontId="7" fillId="7" borderId="5" xfId="0" applyFont="1" applyFill="1" applyBorder="1"/>
    <xf numFmtId="0" fontId="7" fillId="7" borderId="0" xfId="0" applyFont="1" applyFill="1"/>
    <xf numFmtId="0" fontId="4" fillId="7" borderId="0" xfId="0" applyFont="1" applyFill="1"/>
    <xf numFmtId="0" fontId="4" fillId="7" borderId="6" xfId="0" applyFont="1" applyFill="1" applyBorder="1"/>
    <xf numFmtId="2" fontId="2" fillId="7" borderId="7" xfId="0" applyNumberFormat="1" applyFont="1" applyFill="1" applyBorder="1" applyAlignment="1">
      <alignment horizontal="center"/>
    </xf>
    <xf numFmtId="0" fontId="2" fillId="7" borderId="8" xfId="0" applyFont="1" applyFill="1" applyBorder="1" applyAlignment="1">
      <alignment horizontal="left" vertical="center"/>
    </xf>
    <xf numFmtId="0" fontId="4" fillId="7" borderId="8" xfId="0" applyFont="1" applyFill="1" applyBorder="1"/>
    <xf numFmtId="0" fontId="4" fillId="7" borderId="7" xfId="0" applyFont="1" applyFill="1" applyBorder="1"/>
    <xf numFmtId="0" fontId="4" fillId="7" borderId="9" xfId="0" applyFont="1" applyFill="1" applyBorder="1"/>
    <xf numFmtId="0" fontId="0" fillId="7" borderId="0" xfId="0" applyFill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17" fontId="0" fillId="7" borderId="12" xfId="0" applyNumberFormat="1" applyFill="1" applyBorder="1"/>
    <xf numFmtId="0" fontId="7" fillId="9" borderId="5" xfId="0" applyFont="1" applyFill="1" applyBorder="1"/>
    <xf numFmtId="0" fontId="7" fillId="9" borderId="0" xfId="0" applyFont="1" applyFill="1"/>
    <xf numFmtId="0" fontId="4" fillId="9" borderId="0" xfId="0" applyFont="1" applyFill="1"/>
    <xf numFmtId="0" fontId="4" fillId="9" borderId="6" xfId="0" applyFont="1" applyFill="1" applyBorder="1"/>
    <xf numFmtId="2" fontId="2" fillId="9" borderId="7" xfId="0" applyNumberFormat="1" applyFont="1" applyFill="1" applyBorder="1" applyAlignment="1">
      <alignment horizontal="center"/>
    </xf>
    <xf numFmtId="0" fontId="2" fillId="9" borderId="8" xfId="0" applyFont="1" applyFill="1" applyBorder="1" applyAlignment="1">
      <alignment horizontal="left" vertical="center"/>
    </xf>
    <xf numFmtId="2" fontId="13" fillId="9" borderId="7" xfId="0" applyNumberFormat="1" applyFont="1" applyFill="1" applyBorder="1" applyAlignment="1">
      <alignment horizontal="center"/>
    </xf>
    <xf numFmtId="0" fontId="4" fillId="9" borderId="8" xfId="0" applyFont="1" applyFill="1" applyBorder="1"/>
    <xf numFmtId="0" fontId="4" fillId="9" borderId="7" xfId="0" applyFont="1" applyFill="1" applyBorder="1"/>
    <xf numFmtId="164" fontId="4" fillId="9" borderId="7" xfId="0" applyNumberFormat="1" applyFont="1" applyFill="1" applyBorder="1"/>
    <xf numFmtId="0" fontId="4" fillId="9" borderId="9" xfId="0" applyFont="1" applyFill="1" applyBorder="1"/>
    <xf numFmtId="0" fontId="0" fillId="9" borderId="0" xfId="0" applyFill="1"/>
    <xf numFmtId="0" fontId="0" fillId="9" borderId="9" xfId="0" applyFill="1" applyBorder="1"/>
    <xf numFmtId="0" fontId="0" fillId="9" borderId="11" xfId="0" applyFill="1" applyBorder="1"/>
    <xf numFmtId="17" fontId="0" fillId="9" borderId="12" xfId="0" applyNumberFormat="1" applyFill="1" applyBorder="1"/>
    <xf numFmtId="0" fontId="8" fillId="11" borderId="16" xfId="0" applyFont="1" applyFill="1" applyBorder="1"/>
    <xf numFmtId="0" fontId="8" fillId="11" borderId="17" xfId="0" applyFont="1" applyFill="1" applyBorder="1"/>
    <xf numFmtId="0" fontId="8" fillId="11" borderId="1" xfId="0" applyFont="1" applyFill="1" applyBorder="1"/>
    <xf numFmtId="0" fontId="8" fillId="11" borderId="8" xfId="0" applyFont="1" applyFill="1" applyBorder="1"/>
    <xf numFmtId="0" fontId="3" fillId="0" borderId="0" xfId="0" applyFont="1"/>
    <xf numFmtId="0" fontId="12" fillId="9" borderId="10" xfId="0" applyFont="1" applyFill="1" applyBorder="1"/>
    <xf numFmtId="0" fontId="2" fillId="7" borderId="15" xfId="0" applyFont="1" applyFill="1" applyBorder="1" applyAlignment="1">
      <alignment horizontal="left" vertical="center"/>
    </xf>
    <xf numFmtId="0" fontId="2" fillId="9" borderId="15" xfId="0" applyFont="1" applyFill="1" applyBorder="1" applyAlignment="1">
      <alignment horizontal="left" vertical="center"/>
    </xf>
    <xf numFmtId="17" fontId="2" fillId="7" borderId="15" xfId="0" applyNumberFormat="1" applyFont="1" applyFill="1" applyBorder="1" applyAlignment="1">
      <alignment horizontal="left"/>
    </xf>
    <xf numFmtId="0" fontId="13" fillId="7" borderId="8" xfId="0" applyFont="1" applyFill="1" applyBorder="1" applyAlignment="1">
      <alignment horizontal="left" vertical="center"/>
    </xf>
    <xf numFmtId="0" fontId="2" fillId="7" borderId="9" xfId="0" applyFont="1" applyFill="1" applyBorder="1" applyAlignment="1">
      <alignment horizontal="left" vertical="center"/>
    </xf>
    <xf numFmtId="17" fontId="2" fillId="9" borderId="15" xfId="0" applyNumberFormat="1" applyFont="1" applyFill="1" applyBorder="1" applyAlignment="1">
      <alignment horizontal="left"/>
    </xf>
    <xf numFmtId="0" fontId="13" fillId="9" borderId="8" xfId="0" applyFont="1" applyFill="1" applyBorder="1" applyAlignment="1">
      <alignment horizontal="left" vertical="center"/>
    </xf>
    <xf numFmtId="0" fontId="2" fillId="9" borderId="9" xfId="0" applyFont="1" applyFill="1" applyBorder="1" applyAlignment="1">
      <alignment horizontal="left" vertical="center"/>
    </xf>
    <xf numFmtId="0" fontId="4" fillId="12" borderId="1" xfId="0" applyFont="1" applyFill="1" applyBorder="1"/>
    <xf numFmtId="0" fontId="7" fillId="12" borderId="7" xfId="0" applyFont="1" applyFill="1" applyBorder="1"/>
    <xf numFmtId="0" fontId="7" fillId="12" borderId="1" xfId="0" applyFont="1" applyFill="1" applyBorder="1"/>
    <xf numFmtId="0" fontId="8" fillId="12" borderId="1" xfId="0" applyFont="1" applyFill="1" applyBorder="1"/>
    <xf numFmtId="0" fontId="4" fillId="12" borderId="15" xfId="0" applyFont="1" applyFill="1" applyBorder="1"/>
    <xf numFmtId="0" fontId="3" fillId="7" borderId="0" xfId="0" applyFont="1" applyFill="1"/>
    <xf numFmtId="2" fontId="10" fillId="9" borderId="7" xfId="0" applyNumberFormat="1" applyFont="1" applyFill="1" applyBorder="1" applyAlignment="1">
      <alignment horizontal="center"/>
    </xf>
    <xf numFmtId="2" fontId="10" fillId="9" borderId="1" xfId="0" applyNumberFormat="1" applyFont="1" applyFill="1" applyBorder="1" applyAlignment="1">
      <alignment horizontal="center"/>
    </xf>
    <xf numFmtId="0" fontId="14" fillId="9" borderId="8" xfId="0" applyFont="1" applyFill="1" applyBorder="1" applyAlignment="1">
      <alignment horizontal="left" vertical="center"/>
    </xf>
    <xf numFmtId="17" fontId="14" fillId="9" borderId="15" xfId="0" applyNumberFormat="1" applyFont="1" applyFill="1" applyBorder="1" applyAlignment="1">
      <alignment horizontal="left"/>
    </xf>
    <xf numFmtId="49" fontId="3" fillId="7" borderId="0" xfId="0" applyNumberFormat="1" applyFont="1" applyFill="1"/>
    <xf numFmtId="0" fontId="4" fillId="13" borderId="0" xfId="0" applyFont="1" applyFill="1"/>
    <xf numFmtId="0" fontId="4" fillId="13" borderId="18" xfId="0" applyFont="1" applyFill="1" applyBorder="1"/>
    <xf numFmtId="0" fontId="0" fillId="13" borderId="0" xfId="0" applyFill="1"/>
    <xf numFmtId="164" fontId="0" fillId="13" borderId="1" xfId="0" applyNumberFormat="1" applyFill="1" applyBorder="1"/>
    <xf numFmtId="164" fontId="4" fillId="7" borderId="14" xfId="0" applyNumberFormat="1" applyFont="1" applyFill="1" applyBorder="1"/>
    <xf numFmtId="164" fontId="4" fillId="7" borderId="13" xfId="0" applyNumberFormat="1" applyFont="1" applyFill="1" applyBorder="1"/>
    <xf numFmtId="164" fontId="4" fillId="9" borderId="14" xfId="0" applyNumberFormat="1" applyFont="1" applyFill="1" applyBorder="1"/>
    <xf numFmtId="164" fontId="4" fillId="9" borderId="13" xfId="0" applyNumberFormat="1" applyFont="1" applyFill="1" applyBorder="1"/>
    <xf numFmtId="165" fontId="2" fillId="6" borderId="1" xfId="0" applyNumberFormat="1" applyFont="1" applyFill="1" applyBorder="1" applyAlignment="1">
      <alignment horizontal="left"/>
    </xf>
    <xf numFmtId="0" fontId="7" fillId="0" borderId="5" xfId="0" applyFont="1" applyBorder="1"/>
    <xf numFmtId="0" fontId="7" fillId="0" borderId="9" xfId="0" applyFont="1" applyBorder="1"/>
    <xf numFmtId="0" fontId="2" fillId="6" borderId="7" xfId="0" applyFont="1" applyFill="1" applyBorder="1"/>
    <xf numFmtId="0" fontId="2" fillId="0" borderId="7" xfId="0" applyFont="1" applyBorder="1"/>
    <xf numFmtId="0" fontId="4" fillId="0" borderId="7" xfId="0" applyFont="1" applyBorder="1"/>
    <xf numFmtId="0" fontId="4" fillId="5" borderId="7" xfId="0" applyFont="1" applyFill="1" applyBorder="1"/>
    <xf numFmtId="0" fontId="4" fillId="0" borderId="5" xfId="0" applyFont="1" applyBorder="1"/>
    <xf numFmtId="0" fontId="4" fillId="0" borderId="9" xfId="0" applyFont="1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8" fillId="4" borderId="22" xfId="0" applyFont="1" applyFill="1" applyBorder="1"/>
    <xf numFmtId="0" fontId="8" fillId="4" borderId="23" xfId="0" applyFont="1" applyFill="1" applyBorder="1" applyAlignment="1">
      <alignment wrapText="1"/>
    </xf>
    <xf numFmtId="0" fontId="13" fillId="12" borderId="8" xfId="0" applyFont="1" applyFill="1" applyBorder="1"/>
    <xf numFmtId="0" fontId="5" fillId="12" borderId="8" xfId="0" applyFont="1" applyFill="1" applyBorder="1"/>
    <xf numFmtId="0" fontId="13" fillId="0" borderId="7" xfId="0" applyFont="1" applyBorder="1"/>
    <xf numFmtId="0" fontId="4" fillId="12" borderId="7" xfId="0" applyFont="1" applyFill="1" applyBorder="1"/>
    <xf numFmtId="0" fontId="8" fillId="4" borderId="8" xfId="0" applyFont="1" applyFill="1" applyBorder="1"/>
    <xf numFmtId="0" fontId="4" fillId="0" borderId="8" xfId="0" applyFont="1" applyBorder="1"/>
    <xf numFmtId="0" fontId="0" fillId="0" borderId="10" xfId="0" applyBorder="1"/>
    <xf numFmtId="2" fontId="2" fillId="6" borderId="24" xfId="0" applyNumberFormat="1" applyFont="1" applyFill="1" applyBorder="1" applyAlignment="1">
      <alignment horizontal="left"/>
    </xf>
    <xf numFmtId="0" fontId="7" fillId="4" borderId="24" xfId="0" applyFont="1" applyFill="1" applyBorder="1"/>
    <xf numFmtId="0" fontId="7" fillId="3" borderId="24" xfId="0" applyFont="1" applyFill="1" applyBorder="1"/>
    <xf numFmtId="0" fontId="4" fillId="5" borderId="24" xfId="0" applyFont="1" applyFill="1" applyBorder="1"/>
    <xf numFmtId="165" fontId="2" fillId="0" borderId="1" xfId="0" applyNumberFormat="1" applyFont="1" applyBorder="1" applyAlignment="1">
      <alignment horizontal="left"/>
    </xf>
    <xf numFmtId="165" fontId="13" fillId="0" borderId="1" xfId="0" applyNumberFormat="1" applyFont="1" applyBorder="1" applyAlignment="1">
      <alignment horizontal="left"/>
    </xf>
    <xf numFmtId="0" fontId="0" fillId="7" borderId="1" xfId="0" applyFill="1" applyBorder="1"/>
    <xf numFmtId="164" fontId="3" fillId="7" borderId="1" xfId="0" applyNumberFormat="1" applyFont="1" applyFill="1" applyBorder="1"/>
    <xf numFmtId="0" fontId="0" fillId="7" borderId="7" xfId="0" applyFill="1" applyBorder="1"/>
    <xf numFmtId="0" fontId="0" fillId="9" borderId="1" xfId="0" applyFill="1" applyBorder="1"/>
    <xf numFmtId="0" fontId="0" fillId="12" borderId="8" xfId="0" applyFill="1" applyBorder="1"/>
    <xf numFmtId="0" fontId="0" fillId="9" borderId="7" xfId="0" applyFill="1" applyBorder="1"/>
    <xf numFmtId="0" fontId="7" fillId="0" borderId="25" xfId="0" applyFont="1" applyBorder="1"/>
    <xf numFmtId="0" fontId="8" fillId="0" borderId="25" xfId="0" applyFont="1" applyBorder="1" applyAlignment="1">
      <alignment wrapText="1"/>
    </xf>
    <xf numFmtId="0" fontId="13" fillId="0" borderId="25" xfId="0" applyFont="1" applyBorder="1"/>
    <xf numFmtId="0" fontId="5" fillId="0" borderId="25" xfId="0" applyFont="1" applyBorder="1"/>
    <xf numFmtId="0" fontId="8" fillId="0" borderId="25" xfId="0" applyFont="1" applyBorder="1"/>
    <xf numFmtId="0" fontId="4" fillId="0" borderId="25" xfId="0" applyFont="1" applyBorder="1"/>
    <xf numFmtId="164" fontId="4" fillId="0" borderId="25" xfId="0" applyNumberFormat="1" applyFont="1" applyBorder="1"/>
    <xf numFmtId="0" fontId="0" fillId="0" borderId="25" xfId="0" applyBorder="1"/>
    <xf numFmtId="164" fontId="3" fillId="9" borderId="1" xfId="0" applyNumberFormat="1" applyFont="1" applyFill="1" applyBorder="1"/>
    <xf numFmtId="0" fontId="0" fillId="0" borderId="5" xfId="0" applyBorder="1"/>
    <xf numFmtId="0" fontId="8" fillId="0" borderId="5" xfId="0" applyFont="1" applyBorder="1" applyAlignment="1">
      <alignment wrapText="1"/>
    </xf>
    <xf numFmtId="0" fontId="13" fillId="0" borderId="5" xfId="0" applyFont="1" applyBorder="1"/>
    <xf numFmtId="0" fontId="5" fillId="0" borderId="5" xfId="0" applyFont="1" applyBorder="1"/>
    <xf numFmtId="0" fontId="8" fillId="0" borderId="5" xfId="0" applyFont="1" applyBorder="1"/>
    <xf numFmtId="164" fontId="8" fillId="0" borderId="5" xfId="0" applyNumberFormat="1" applyFont="1" applyBorder="1"/>
    <xf numFmtId="164" fontId="4" fillId="0" borderId="5" xfId="0" applyNumberFormat="1" applyFont="1" applyBorder="1"/>
    <xf numFmtId="0" fontId="0" fillId="9" borderId="10" xfId="0" applyFill="1" applyBorder="1"/>
    <xf numFmtId="0" fontId="8" fillId="11" borderId="26" xfId="0" applyFont="1" applyFill="1" applyBorder="1"/>
    <xf numFmtId="0" fontId="8" fillId="0" borderId="9" xfId="0" applyFont="1" applyBorder="1" applyAlignment="1">
      <alignment wrapText="1"/>
    </xf>
    <xf numFmtId="0" fontId="13" fillId="0" borderId="9" xfId="0" applyFont="1" applyBorder="1"/>
    <xf numFmtId="0" fontId="5" fillId="0" borderId="9" xfId="0" applyFont="1" applyBorder="1"/>
    <xf numFmtId="0" fontId="8" fillId="0" borderId="9" xfId="0" applyFont="1" applyBorder="1"/>
    <xf numFmtId="164" fontId="8" fillId="0" borderId="9" xfId="0" applyNumberFormat="1" applyFont="1" applyBorder="1"/>
    <xf numFmtId="164" fontId="4" fillId="0" borderId="9" xfId="0" applyNumberFormat="1" applyFont="1" applyBorder="1"/>
    <xf numFmtId="49" fontId="4" fillId="0" borderId="19" xfId="0" applyNumberFormat="1" applyFont="1" applyBorder="1" applyAlignment="1">
      <alignment horizontal="center"/>
    </xf>
    <xf numFmtId="0" fontId="4" fillId="0" borderId="20" xfId="0" applyFont="1" applyBorder="1"/>
    <xf numFmtId="0" fontId="4" fillId="0" borderId="21" xfId="0" applyFont="1" applyBorder="1"/>
    <xf numFmtId="0" fontId="9" fillId="5" borderId="3" xfId="0" applyFont="1" applyFill="1" applyBorder="1"/>
    <xf numFmtId="164" fontId="7" fillId="3" borderId="8" xfId="0" applyNumberFormat="1" applyFont="1" applyFill="1" applyBorder="1"/>
    <xf numFmtId="164" fontId="3" fillId="2" borderId="8" xfId="0" applyNumberFormat="1" applyFont="1" applyFill="1" applyBorder="1"/>
    <xf numFmtId="164" fontId="11" fillId="0" borderId="5" xfId="0" applyNumberFormat="1" applyFont="1" applyBorder="1"/>
    <xf numFmtId="164" fontId="1" fillId="8" borderId="7" xfId="0" applyNumberFormat="1" applyFont="1" applyFill="1" applyBorder="1"/>
    <xf numFmtId="164" fontId="1" fillId="8" borderId="1" xfId="0" applyNumberFormat="1" applyFont="1" applyFill="1" applyBorder="1"/>
    <xf numFmtId="164" fontId="1" fillId="7" borderId="1" xfId="0" applyNumberFormat="1" applyFont="1" applyFill="1" applyBorder="1"/>
    <xf numFmtId="164" fontId="11" fillId="0" borderId="25" xfId="0" applyNumberFormat="1" applyFont="1" applyBorder="1"/>
    <xf numFmtId="164" fontId="1" fillId="10" borderId="7" xfId="0" applyNumberFormat="1" applyFont="1" applyFill="1" applyBorder="1"/>
    <xf numFmtId="164" fontId="1" fillId="10" borderId="1" xfId="0" applyNumberFormat="1" applyFont="1" applyFill="1" applyBorder="1"/>
    <xf numFmtId="164" fontId="1" fillId="9" borderId="1" xfId="0" applyNumberFormat="1" applyFont="1" applyFill="1" applyBorder="1"/>
    <xf numFmtId="0" fontId="2" fillId="6" borderId="4" xfId="0" applyFont="1" applyFill="1" applyBorder="1" applyProtection="1">
      <protection locked="0"/>
    </xf>
    <xf numFmtId="165" fontId="2" fillId="6" borderId="1" xfId="0" applyNumberFormat="1" applyFont="1" applyFill="1" applyBorder="1" applyAlignment="1" applyProtection="1">
      <alignment horizontal="left"/>
      <protection locked="0"/>
    </xf>
    <xf numFmtId="0" fontId="13" fillId="12" borderId="8" xfId="0" applyFont="1" applyFill="1" applyBorder="1" applyProtection="1">
      <protection locked="0"/>
    </xf>
    <xf numFmtId="0" fontId="13" fillId="0" borderId="9" xfId="0" applyFont="1" applyBorder="1" applyProtection="1">
      <protection locked="0"/>
    </xf>
    <xf numFmtId="2" fontId="2" fillId="9" borderId="7" xfId="0" applyNumberFormat="1" applyFont="1" applyFill="1" applyBorder="1" applyAlignment="1" applyProtection="1">
      <alignment horizontal="center"/>
      <protection locked="0"/>
    </xf>
    <xf numFmtId="2" fontId="2" fillId="9" borderId="1" xfId="0" applyNumberFormat="1" applyFont="1" applyFill="1" applyBorder="1" applyAlignment="1" applyProtection="1">
      <alignment horizontal="center"/>
      <protection locked="0"/>
    </xf>
    <xf numFmtId="0" fontId="2" fillId="9" borderId="1" xfId="0" applyFont="1" applyFill="1" applyBorder="1" applyAlignment="1" applyProtection="1">
      <alignment horizontal="left" vertical="center"/>
      <protection locked="0"/>
    </xf>
    <xf numFmtId="0" fontId="2" fillId="9" borderId="8" xfId="0" applyFont="1" applyFill="1" applyBorder="1" applyAlignment="1" applyProtection="1">
      <alignment horizontal="left" vertical="center"/>
      <protection locked="0"/>
    </xf>
    <xf numFmtId="0" fontId="13" fillId="0" borderId="5" xfId="0" applyFont="1" applyBorder="1" applyProtection="1">
      <protection locked="0"/>
    </xf>
    <xf numFmtId="2" fontId="2" fillId="7" borderId="7" xfId="0" applyNumberFormat="1" applyFont="1" applyFill="1" applyBorder="1" applyAlignment="1" applyProtection="1">
      <alignment horizontal="center"/>
      <protection locked="0"/>
    </xf>
    <xf numFmtId="2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 vertical="center"/>
      <protection locked="0"/>
    </xf>
    <xf numFmtId="0" fontId="2" fillId="7" borderId="8" xfId="0" applyFont="1" applyFill="1" applyBorder="1" applyAlignment="1" applyProtection="1">
      <alignment horizontal="left" vertical="center"/>
      <protection locked="0"/>
    </xf>
    <xf numFmtId="0" fontId="13" fillId="0" borderId="25" xfId="0" applyFont="1" applyBorder="1" applyProtection="1"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0" fontId="4" fillId="0" borderId="20" xfId="0" applyFont="1" applyBorder="1" applyProtection="1">
      <protection locked="0"/>
    </xf>
    <xf numFmtId="0" fontId="4" fillId="0" borderId="21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9" xfId="0" applyFont="1" applyBorder="1" applyProtection="1">
      <protection locked="0"/>
    </xf>
    <xf numFmtId="0" fontId="7" fillId="9" borderId="5" xfId="0" applyFont="1" applyFill="1" applyBorder="1" applyProtection="1">
      <protection locked="0"/>
    </xf>
    <xf numFmtId="0" fontId="7" fillId="9" borderId="0" xfId="0" applyFont="1" applyFill="1" applyProtection="1">
      <protection locked="0"/>
    </xf>
    <xf numFmtId="0" fontId="4" fillId="9" borderId="0" xfId="0" applyFont="1" applyFill="1" applyProtection="1">
      <protection locked="0"/>
    </xf>
    <xf numFmtId="0" fontId="4" fillId="9" borderId="6" xfId="0" applyFont="1" applyFill="1" applyBorder="1" applyProtection="1">
      <protection locked="0"/>
    </xf>
    <xf numFmtId="0" fontId="7" fillId="7" borderId="5" xfId="0" applyFont="1" applyFill="1" applyBorder="1" applyProtection="1">
      <protection locked="0"/>
    </xf>
    <xf numFmtId="0" fontId="7" fillId="7" borderId="0" xfId="0" applyFont="1" applyFill="1" applyProtection="1">
      <protection locked="0"/>
    </xf>
    <xf numFmtId="0" fontId="4" fillId="7" borderId="0" xfId="0" applyFont="1" applyFill="1" applyProtection="1">
      <protection locked="0"/>
    </xf>
    <xf numFmtId="0" fontId="4" fillId="7" borderId="6" xfId="0" applyFont="1" applyFill="1" applyBorder="1" applyProtection="1">
      <protection locked="0"/>
    </xf>
    <xf numFmtId="0" fontId="7" fillId="0" borderId="25" xfId="0" applyFont="1" applyBorder="1" applyProtection="1">
      <protection locked="0"/>
    </xf>
    <xf numFmtId="0" fontId="8" fillId="4" borderId="2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0" fontId="8" fillId="4" borderId="23" xfId="0" applyFont="1" applyFill="1" applyBorder="1" applyAlignment="1" applyProtection="1">
      <alignment wrapText="1"/>
      <protection locked="0"/>
    </xf>
    <xf numFmtId="0" fontId="8" fillId="0" borderId="9" xfId="0" applyFont="1" applyBorder="1" applyAlignment="1" applyProtection="1">
      <alignment wrapText="1"/>
      <protection locked="0"/>
    </xf>
    <xf numFmtId="0" fontId="8" fillId="11" borderId="16" xfId="0" applyFont="1" applyFill="1" applyBorder="1" applyProtection="1">
      <protection locked="0"/>
    </xf>
    <xf numFmtId="0" fontId="8" fillId="11" borderId="17" xfId="0" applyFont="1" applyFill="1" applyBorder="1" applyProtection="1">
      <protection locked="0"/>
    </xf>
    <xf numFmtId="0" fontId="8" fillId="11" borderId="1" xfId="0" applyFont="1" applyFill="1" applyBorder="1" applyProtection="1">
      <protection locked="0"/>
    </xf>
    <xf numFmtId="0" fontId="8" fillId="11" borderId="8" xfId="0" applyFont="1" applyFill="1" applyBorder="1" applyProtection="1">
      <protection locked="0"/>
    </xf>
    <xf numFmtId="0" fontId="8" fillId="0" borderId="5" xfId="0" applyFont="1" applyBorder="1" applyAlignment="1" applyProtection="1">
      <alignment wrapText="1"/>
      <protection locked="0"/>
    </xf>
    <xf numFmtId="0" fontId="8" fillId="0" borderId="25" xfId="0" applyFont="1" applyBorder="1" applyAlignment="1" applyProtection="1">
      <alignment wrapText="1"/>
      <protection locked="0"/>
    </xf>
    <xf numFmtId="0" fontId="8" fillId="11" borderId="26" xfId="0" applyFont="1" applyFill="1" applyBorder="1" applyProtection="1">
      <protection locked="0"/>
    </xf>
    <xf numFmtId="0" fontId="4" fillId="12" borderId="7" xfId="0" applyFont="1" applyFill="1" applyBorder="1" applyProtection="1">
      <protection locked="0"/>
    </xf>
    <xf numFmtId="0" fontId="7" fillId="4" borderId="1" xfId="0" applyFont="1" applyFill="1" applyBorder="1" applyProtection="1">
      <protection locked="0"/>
    </xf>
    <xf numFmtId="0" fontId="8" fillId="4" borderId="8" xfId="0" applyFont="1" applyFill="1" applyBorder="1" applyProtection="1">
      <protection locked="0"/>
    </xf>
    <xf numFmtId="0" fontId="8" fillId="0" borderId="9" xfId="0" applyFont="1" applyBorder="1" applyProtection="1">
      <protection locked="0"/>
    </xf>
    <xf numFmtId="0" fontId="7" fillId="12" borderId="7" xfId="0" applyFont="1" applyFill="1" applyBorder="1" applyProtection="1">
      <protection locked="0"/>
    </xf>
    <xf numFmtId="0" fontId="7" fillId="12" borderId="1" xfId="0" applyFont="1" applyFill="1" applyBorder="1" applyProtection="1">
      <protection locked="0"/>
    </xf>
    <xf numFmtId="0" fontId="8" fillId="12" borderId="1" xfId="0" applyFont="1" applyFill="1" applyBorder="1" applyProtection="1">
      <protection locked="0"/>
    </xf>
    <xf numFmtId="0" fontId="4" fillId="12" borderId="1" xfId="0" applyFont="1" applyFill="1" applyBorder="1" applyProtection="1">
      <protection locked="0"/>
    </xf>
    <xf numFmtId="0" fontId="0" fillId="12" borderId="8" xfId="0" applyFill="1" applyBorder="1" applyProtection="1">
      <protection locked="0"/>
    </xf>
    <xf numFmtId="0" fontId="8" fillId="0" borderId="5" xfId="0" applyFont="1" applyBorder="1" applyProtection="1">
      <protection locked="0"/>
    </xf>
    <xf numFmtId="0" fontId="4" fillId="12" borderId="15" xfId="0" applyFont="1" applyFill="1" applyBorder="1" applyProtection="1">
      <protection locked="0"/>
    </xf>
    <xf numFmtId="0" fontId="8" fillId="0" borderId="25" xfId="0" applyFont="1" applyBorder="1" applyProtection="1">
      <protection locked="0"/>
    </xf>
    <xf numFmtId="0" fontId="9" fillId="5" borderId="3" xfId="0" applyFont="1" applyFill="1" applyBorder="1" applyProtection="1">
      <protection locked="0"/>
    </xf>
    <xf numFmtId="0" fontId="7" fillId="3" borderId="1" xfId="0" applyFont="1" applyFill="1" applyBorder="1" applyProtection="1">
      <protection locked="0"/>
    </xf>
    <xf numFmtId="164" fontId="8" fillId="0" borderId="9" xfId="0" applyNumberFormat="1" applyFont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4" fillId="7" borderId="8" xfId="0" applyFont="1" applyFill="1" applyBorder="1" applyProtection="1">
      <protection locked="0"/>
    </xf>
    <xf numFmtId="164" fontId="8" fillId="0" borderId="5" xfId="0" applyNumberFormat="1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4" fillId="0" borderId="9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4" fillId="5" borderId="7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164" fontId="4" fillId="0" borderId="9" xfId="0" applyNumberFormat="1" applyFont="1" applyBorder="1" applyProtection="1">
      <protection locked="0"/>
    </xf>
    <xf numFmtId="164" fontId="4" fillId="0" borderId="5" xfId="0" applyNumberFormat="1" applyFont="1" applyBorder="1" applyProtection="1">
      <protection locked="0"/>
    </xf>
    <xf numFmtId="0" fontId="4" fillId="9" borderId="9" xfId="0" applyFont="1" applyFill="1" applyBorder="1" applyProtection="1">
      <protection locked="0"/>
    </xf>
    <xf numFmtId="0" fontId="0" fillId="0" borderId="9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12" fillId="9" borderId="10" xfId="0" applyFont="1" applyFill="1" applyBorder="1" applyProtection="1">
      <protection locked="0"/>
    </xf>
    <xf numFmtId="0" fontId="0" fillId="9" borderId="11" xfId="0" applyFill="1" applyBorder="1" applyProtection="1">
      <protection locked="0"/>
    </xf>
    <xf numFmtId="17" fontId="0" fillId="9" borderId="12" xfId="0" applyNumberFormat="1" applyFill="1" applyBorder="1" applyProtection="1">
      <protection locked="0"/>
    </xf>
    <xf numFmtId="0" fontId="0" fillId="7" borderId="10" xfId="0" applyFill="1" applyBorder="1" applyProtection="1">
      <protection locked="0"/>
    </xf>
    <xf numFmtId="0" fontId="0" fillId="7" borderId="11" xfId="0" applyFill="1" applyBorder="1" applyProtection="1">
      <protection locked="0"/>
    </xf>
    <xf numFmtId="17" fontId="0" fillId="7" borderId="12" xfId="0" applyNumberFormat="1" applyFill="1" applyBorder="1" applyProtection="1">
      <protection locked="0"/>
    </xf>
    <xf numFmtId="0" fontId="0" fillId="9" borderId="10" xfId="0" applyFill="1" applyBorder="1" applyProtection="1">
      <protection locked="0"/>
    </xf>
    <xf numFmtId="0" fontId="4" fillId="0" borderId="8" xfId="0" applyFont="1" applyBorder="1" applyProtection="1">
      <protection locked="0"/>
    </xf>
    <xf numFmtId="0" fontId="7" fillId="4" borderId="24" xfId="0" applyFont="1" applyFill="1" applyBorder="1" applyProtection="1">
      <protection locked="0"/>
    </xf>
    <xf numFmtId="0" fontId="7" fillId="3" borderId="24" xfId="0" applyFont="1" applyFill="1" applyBorder="1" applyProtection="1">
      <protection locked="0"/>
    </xf>
    <xf numFmtId="0" fontId="4" fillId="5" borderId="24" xfId="0" applyFont="1" applyFill="1" applyBorder="1" applyProtection="1">
      <protection locked="0"/>
    </xf>
    <xf numFmtId="0" fontId="0" fillId="13" borderId="27" xfId="0" applyFill="1" applyBorder="1"/>
    <xf numFmtId="0" fontId="4" fillId="13" borderId="27" xfId="0" applyFont="1" applyFill="1" applyBorder="1"/>
    <xf numFmtId="0" fontId="0" fillId="0" borderId="1" xfId="0" applyBorder="1"/>
    <xf numFmtId="0" fontId="4" fillId="0" borderId="1" xfId="0" applyFont="1" applyBorder="1"/>
    <xf numFmtId="0" fontId="0" fillId="14" borderId="1" xfId="0" applyFill="1" applyBorder="1"/>
    <xf numFmtId="0" fontId="3" fillId="0" borderId="1" xfId="0" applyFont="1" applyBorder="1"/>
    <xf numFmtId="0" fontId="2" fillId="7" borderId="15" xfId="0" applyFont="1" applyFill="1" applyBorder="1" applyAlignment="1" applyProtection="1">
      <alignment horizontal="left" vertical="center"/>
      <protection locked="0"/>
    </xf>
    <xf numFmtId="0" fontId="2" fillId="9" borderId="15" xfId="0" applyFont="1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/>
    </xf>
    <xf numFmtId="0" fontId="0" fillId="15" borderId="1" xfId="0" applyFill="1" applyBorder="1"/>
    <xf numFmtId="0" fontId="0" fillId="16" borderId="1" xfId="0" applyFill="1" applyBorder="1"/>
    <xf numFmtId="0" fontId="4" fillId="0" borderId="0" xfId="1"/>
    <xf numFmtId="0" fontId="16" fillId="0" borderId="0" xfId="1" applyFont="1"/>
    <xf numFmtId="49" fontId="4" fillId="0" borderId="19" xfId="1" applyNumberFormat="1" applyBorder="1" applyAlignment="1">
      <alignment vertical="top"/>
    </xf>
    <xf numFmtId="49" fontId="4" fillId="0" borderId="20" xfId="1" applyNumberFormat="1" applyBorder="1" applyAlignment="1">
      <alignment vertical="top"/>
    </xf>
    <xf numFmtId="49" fontId="4" fillId="0" borderId="21" xfId="1" applyNumberFormat="1" applyBorder="1" applyAlignment="1">
      <alignment vertical="top"/>
    </xf>
    <xf numFmtId="49" fontId="4" fillId="0" borderId="0" xfId="1" applyNumberFormat="1" applyAlignment="1">
      <alignment vertical="top"/>
    </xf>
    <xf numFmtId="49" fontId="4" fillId="0" borderId="5" xfId="1" applyNumberFormat="1" applyBorder="1" applyAlignment="1">
      <alignment vertical="top"/>
    </xf>
    <xf numFmtId="49" fontId="4" fillId="0" borderId="9" xfId="1" applyNumberFormat="1" applyBorder="1" applyAlignment="1">
      <alignment vertical="top"/>
    </xf>
    <xf numFmtId="49" fontId="4" fillId="7" borderId="5" xfId="1" applyNumberFormat="1" applyFill="1" applyBorder="1" applyAlignment="1">
      <alignment vertical="top"/>
    </xf>
    <xf numFmtId="49" fontId="4" fillId="7" borderId="9" xfId="1" applyNumberFormat="1" applyFill="1" applyBorder="1" applyAlignment="1">
      <alignment vertical="top" wrapText="1"/>
    </xf>
    <xf numFmtId="49" fontId="4" fillId="7" borderId="9" xfId="1" applyNumberFormat="1" applyFill="1" applyBorder="1" applyAlignment="1">
      <alignment vertical="top"/>
    </xf>
    <xf numFmtId="0" fontId="4" fillId="7" borderId="9" xfId="1" applyFill="1" applyBorder="1"/>
    <xf numFmtId="49" fontId="4" fillId="0" borderId="10" xfId="1" applyNumberFormat="1" applyBorder="1" applyAlignment="1">
      <alignment vertical="top"/>
    </xf>
    <xf numFmtId="49" fontId="4" fillId="0" borderId="11" xfId="1" applyNumberFormat="1" applyBorder="1" applyAlignment="1">
      <alignment vertical="top"/>
    </xf>
    <xf numFmtId="49" fontId="4" fillId="0" borderId="12" xfId="1" applyNumberFormat="1" applyBorder="1" applyAlignment="1">
      <alignment vertical="top"/>
    </xf>
    <xf numFmtId="0" fontId="4" fillId="17" borderId="9" xfId="1" applyFill="1" applyBorder="1" applyAlignment="1">
      <alignment vertical="top"/>
    </xf>
    <xf numFmtId="0" fontId="4" fillId="17" borderId="0" xfId="1" applyFill="1" applyAlignment="1">
      <alignment vertical="top"/>
    </xf>
    <xf numFmtId="49" fontId="4" fillId="7" borderId="0" xfId="1" applyNumberFormat="1" applyFill="1" applyAlignment="1">
      <alignment vertical="top" wrapText="1"/>
    </xf>
    <xf numFmtId="0" fontId="4" fillId="7" borderId="0" xfId="1" applyFill="1"/>
    <xf numFmtId="49" fontId="4" fillId="7" borderId="0" xfId="1" applyNumberFormat="1" applyFill="1" applyAlignment="1">
      <alignment vertical="top"/>
    </xf>
    <xf numFmtId="0" fontId="4" fillId="0" borderId="5" xfId="1" applyBorder="1"/>
    <xf numFmtId="49" fontId="12" fillId="7" borderId="0" xfId="1" applyNumberFormat="1" applyFont="1" applyFill="1" applyAlignment="1">
      <alignment vertical="top"/>
    </xf>
    <xf numFmtId="49" fontId="15" fillId="7" borderId="0" xfId="1" applyNumberFormat="1" applyFont="1" applyFill="1" applyAlignment="1">
      <alignment vertical="top"/>
    </xf>
    <xf numFmtId="0" fontId="12" fillId="7" borderId="0" xfId="1" applyFont="1" applyFill="1"/>
    <xf numFmtId="0" fontId="0" fillId="17" borderId="0" xfId="0" applyFill="1"/>
    <xf numFmtId="0" fontId="3" fillId="17" borderId="0" xfId="0" applyFont="1" applyFill="1"/>
    <xf numFmtId="0" fontId="3" fillId="17" borderId="27" xfId="0" applyFont="1" applyFill="1" applyBorder="1"/>
    <xf numFmtId="0" fontId="3" fillId="17" borderId="18" xfId="0" applyFont="1" applyFill="1" applyBorder="1"/>
    <xf numFmtId="0" fontId="11" fillId="9" borderId="19" xfId="0" applyFont="1" applyFill="1" applyBorder="1" applyAlignment="1">
      <alignment horizontal="center"/>
    </xf>
    <xf numFmtId="0" fontId="11" fillId="9" borderId="20" xfId="0" applyFont="1" applyFill="1" applyBorder="1" applyAlignment="1">
      <alignment horizontal="center"/>
    </xf>
    <xf numFmtId="0" fontId="11" fillId="9" borderId="21" xfId="0" applyFont="1" applyFill="1" applyBorder="1" applyAlignment="1">
      <alignment horizontal="center"/>
    </xf>
    <xf numFmtId="0" fontId="11" fillId="7" borderId="19" xfId="0" applyFont="1" applyFill="1" applyBorder="1" applyAlignment="1">
      <alignment horizontal="center"/>
    </xf>
    <xf numFmtId="0" fontId="11" fillId="7" borderId="20" xfId="0" applyFont="1" applyFill="1" applyBorder="1" applyAlignment="1">
      <alignment horizontal="center"/>
    </xf>
    <xf numFmtId="0" fontId="11" fillId="7" borderId="21" xfId="0" applyFont="1" applyFill="1" applyBorder="1" applyAlignment="1">
      <alignment horizontal="center"/>
    </xf>
    <xf numFmtId="49" fontId="3" fillId="17" borderId="5" xfId="1" applyNumberFormat="1" applyFont="1" applyFill="1" applyBorder="1" applyAlignment="1">
      <alignment horizontal="center" vertical="top"/>
    </xf>
    <xf numFmtId="0" fontId="4" fillId="17" borderId="0" xfId="1" applyFill="1" applyAlignment="1">
      <alignment vertical="top"/>
    </xf>
    <xf numFmtId="2" fontId="2" fillId="6" borderId="24" xfId="0" applyNumberFormat="1" applyFont="1" applyFill="1" applyBorder="1" applyAlignment="1" applyProtection="1">
      <alignment horizontal="left"/>
    </xf>
  </cellXfs>
  <cellStyles count="2">
    <cellStyle name="Standard" xfId="0" builtinId="0"/>
    <cellStyle name="Standard 2" xfId="1" xr:uid="{5129A49E-8AC4-4233-9EE3-CE92D7702FE1}"/>
  </cellStyles>
  <dxfs count="4">
    <dxf>
      <font>
        <b/>
        <i val="0"/>
        <strike val="0"/>
      </font>
    </dxf>
    <dxf>
      <font>
        <b/>
        <i val="0"/>
        <strike val="0"/>
      </font>
    </dxf>
    <dxf>
      <font>
        <b/>
        <i val="0"/>
        <strike val="0"/>
      </font>
    </dxf>
    <dxf>
      <font>
        <b/>
        <i val="0"/>
        <strike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5E5E5"/>
      <rgbColor rgb="00FFFFFF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158750</xdr:colOff>
          <xdr:row>3</xdr:row>
          <xdr:rowOff>139700</xdr:rowOff>
        </xdr:from>
        <xdr:to>
          <xdr:col>7</xdr:col>
          <xdr:colOff>146050</xdr:colOff>
          <xdr:row>5</xdr:row>
          <xdr:rowOff>120650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Belegung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95CF-21CA-4200-9D3F-136D3CF169A5}">
  <sheetPr codeName="Tabelle1"/>
  <dimension ref="A2:K16"/>
  <sheetViews>
    <sheetView tabSelected="1" workbookViewId="0">
      <selection activeCell="G47" sqref="G47"/>
    </sheetView>
  </sheetViews>
  <sheetFormatPr baseColWidth="10" defaultRowHeight="12.5" x14ac:dyDescent="0.25"/>
  <cols>
    <col min="1" max="1" width="14.81640625" customWidth="1"/>
    <col min="3" max="3" width="12.7265625" bestFit="1" customWidth="1"/>
    <col min="5" max="5" width="8.54296875" customWidth="1"/>
    <col min="6" max="6" width="15.81640625" customWidth="1"/>
  </cols>
  <sheetData>
    <row r="2" spans="1:11" x14ac:dyDescent="0.25">
      <c r="A2" t="s">
        <v>41</v>
      </c>
      <c r="B2" s="3" t="s">
        <v>46</v>
      </c>
      <c r="C2" s="3"/>
    </row>
    <row r="3" spans="1:11" x14ac:dyDescent="0.25">
      <c r="A3" t="s">
        <v>43</v>
      </c>
      <c r="B3">
        <v>2024</v>
      </c>
    </row>
    <row r="4" spans="1:11" x14ac:dyDescent="0.25">
      <c r="A4" s="3" t="s">
        <v>65</v>
      </c>
      <c r="B4" s="3" t="s">
        <v>66</v>
      </c>
    </row>
    <row r="5" spans="1:11" x14ac:dyDescent="0.25">
      <c r="K5" s="3" t="s">
        <v>64</v>
      </c>
    </row>
    <row r="6" spans="1:11" ht="13" x14ac:dyDescent="0.3">
      <c r="A6" s="250" t="s">
        <v>45</v>
      </c>
      <c r="B6" s="250" t="s">
        <v>47</v>
      </c>
      <c r="C6" s="250" t="s">
        <v>44</v>
      </c>
      <c r="D6" s="250" t="s">
        <v>42</v>
      </c>
    </row>
    <row r="7" spans="1:11" x14ac:dyDescent="0.25">
      <c r="A7" s="248" t="s">
        <v>23</v>
      </c>
      <c r="B7" s="247">
        <v>12.5</v>
      </c>
      <c r="C7" s="247">
        <v>30</v>
      </c>
      <c r="D7" s="249"/>
      <c r="K7" s="3" t="s">
        <v>63</v>
      </c>
    </row>
    <row r="8" spans="1:11" x14ac:dyDescent="0.25">
      <c r="A8" s="248" t="s">
        <v>48</v>
      </c>
      <c r="B8" s="247">
        <v>12.5</v>
      </c>
      <c r="C8" s="247">
        <v>30</v>
      </c>
      <c r="D8" s="254"/>
    </row>
    <row r="9" spans="1:11" x14ac:dyDescent="0.25">
      <c r="A9" s="248" t="s">
        <v>49</v>
      </c>
      <c r="B9" s="247">
        <v>12.5</v>
      </c>
      <c r="C9" s="247">
        <v>30</v>
      </c>
      <c r="D9" s="255"/>
    </row>
    <row r="10" spans="1:11" x14ac:dyDescent="0.25">
      <c r="A10" s="247"/>
      <c r="B10" s="247"/>
      <c r="C10" s="247"/>
      <c r="D10" s="247"/>
    </row>
    <row r="11" spans="1:11" x14ac:dyDescent="0.25">
      <c r="A11" s="247"/>
      <c r="B11" s="247"/>
      <c r="C11" s="247"/>
      <c r="D11" s="247"/>
    </row>
    <row r="12" spans="1:11" x14ac:dyDescent="0.25">
      <c r="A12" s="247"/>
      <c r="B12" s="247"/>
      <c r="C12" s="247"/>
      <c r="D12" s="247"/>
    </row>
    <row r="13" spans="1:11" x14ac:dyDescent="0.25">
      <c r="A13" s="247"/>
      <c r="B13" s="247"/>
      <c r="C13" s="247"/>
      <c r="D13" s="247"/>
    </row>
    <row r="14" spans="1:11" x14ac:dyDescent="0.25">
      <c r="A14" s="247"/>
      <c r="B14" s="247"/>
      <c r="C14" s="247"/>
      <c r="D14" s="247"/>
    </row>
    <row r="15" spans="1:11" x14ac:dyDescent="0.25">
      <c r="A15" s="247"/>
      <c r="B15" s="247"/>
      <c r="C15" s="247"/>
      <c r="D15" s="247"/>
    </row>
    <row r="16" spans="1:11" x14ac:dyDescent="0.25">
      <c r="A16" s="247"/>
      <c r="B16" s="247"/>
      <c r="C16" s="247"/>
      <c r="D16" s="247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Jahresbelegung_erstellen">
                <anchor>
                  <from>
                    <xdr:col>5</xdr:col>
                    <xdr:colOff>158750</xdr:colOff>
                    <xdr:row>3</xdr:row>
                    <xdr:rowOff>139700</xdr:rowOff>
                  </from>
                  <to>
                    <xdr:col>7</xdr:col>
                    <xdr:colOff>146050</xdr:colOff>
                    <xdr:row>5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2:K36"/>
  <sheetViews>
    <sheetView workbookViewId="0">
      <selection activeCell="C26" sqref="C26"/>
    </sheetView>
  </sheetViews>
  <sheetFormatPr baseColWidth="10" defaultRowHeight="12.5" x14ac:dyDescent="0.25"/>
  <cols>
    <col min="1" max="1" width="21.81640625" customWidth="1"/>
    <col min="2" max="2" width="14.453125" customWidth="1"/>
    <col min="3" max="3" width="21.81640625" customWidth="1"/>
    <col min="5" max="5" width="19.81640625" bestFit="1" customWidth="1"/>
    <col min="6" max="6" width="17.26953125" customWidth="1"/>
    <col min="7" max="7" width="21.81640625" customWidth="1"/>
    <col min="9" max="9" width="19.81640625" bestFit="1" customWidth="1"/>
    <col min="10" max="10" width="18.08984375" customWidth="1"/>
  </cols>
  <sheetData>
    <row r="2" spans="1:11" ht="13" x14ac:dyDescent="0.3">
      <c r="A2" s="59" t="s">
        <v>39</v>
      </c>
      <c r="C2" s="59"/>
      <c r="G2" s="59"/>
    </row>
    <row r="4" spans="1:11" x14ac:dyDescent="0.25">
      <c r="A4" s="173"/>
      <c r="C4" s="173"/>
      <c r="G4" s="173"/>
    </row>
    <row r="6" spans="1:11" ht="13" x14ac:dyDescent="0.3">
      <c r="A6" s="74" t="str">
        <f>"Januar " &amp; $A$4</f>
        <v xml:space="preserve">Januar </v>
      </c>
      <c r="B6" s="74"/>
      <c r="C6" s="74"/>
      <c r="E6" s="74" t="s">
        <v>58</v>
      </c>
      <c r="F6" s="74"/>
      <c r="G6" s="74"/>
      <c r="I6" s="74" t="s">
        <v>59</v>
      </c>
      <c r="J6" s="74"/>
      <c r="K6" s="74"/>
    </row>
    <row r="7" spans="1:11" ht="9" customHeight="1" x14ac:dyDescent="0.25"/>
    <row r="8" spans="1:11" hidden="1" x14ac:dyDescent="0.25"/>
    <row r="9" spans="1:11" ht="13" x14ac:dyDescent="0.3">
      <c r="A9" s="1"/>
      <c r="B9" s="1"/>
      <c r="C9" s="1" t="s">
        <v>7</v>
      </c>
      <c r="E9" s="1"/>
      <c r="F9" s="1"/>
      <c r="G9" s="1" t="s">
        <v>7</v>
      </c>
      <c r="I9" s="1"/>
      <c r="J9" s="1"/>
      <c r="K9" s="1" t="s">
        <v>7</v>
      </c>
    </row>
    <row r="10" spans="1:11" ht="13" x14ac:dyDescent="0.3">
      <c r="A10" s="1" t="s">
        <v>11</v>
      </c>
      <c r="B10" s="2">
        <f>Vorlage_Gruppen!$S$10</f>
        <v>0</v>
      </c>
      <c r="C10" s="2">
        <f>SUM(B10:B10)</f>
        <v>0</v>
      </c>
      <c r="E10" s="1" t="s">
        <v>11</v>
      </c>
      <c r="F10" s="2">
        <f>Vorlage_Gruppen!$AA$10</f>
        <v>0</v>
      </c>
      <c r="G10" s="2">
        <f>SUM(F10:F10)</f>
        <v>0</v>
      </c>
      <c r="I10" s="1" t="s">
        <v>11</v>
      </c>
      <c r="J10" s="2">
        <f>Vorlage_Gruppen!$AH$10</f>
        <v>0</v>
      </c>
      <c r="K10" s="2">
        <f>SUM(J10:J10)</f>
        <v>0</v>
      </c>
    </row>
    <row r="11" spans="1:11" ht="13" x14ac:dyDescent="0.3">
      <c r="A11" s="1" t="s">
        <v>10</v>
      </c>
      <c r="B11" s="2">
        <f>Vorlage_Gruppen!$S$11</f>
        <v>0</v>
      </c>
      <c r="C11" s="2">
        <f>SUM(B11:B11)</f>
        <v>0</v>
      </c>
      <c r="E11" s="1" t="s">
        <v>10</v>
      </c>
      <c r="F11" s="2">
        <f>Vorlage_Gruppen!$AA$11</f>
        <v>0</v>
      </c>
      <c r="G11" s="2">
        <f>SUM(F11:F11)</f>
        <v>0</v>
      </c>
      <c r="I11" s="1" t="s">
        <v>10</v>
      </c>
      <c r="J11" s="2">
        <f>Vorlage_Gruppen!$AH$11</f>
        <v>0</v>
      </c>
      <c r="K11" s="2">
        <f>SUM(J11:J11)</f>
        <v>0</v>
      </c>
    </row>
    <row r="12" spans="1:11" ht="13" x14ac:dyDescent="0.3">
      <c r="A12" s="1" t="s">
        <v>12</v>
      </c>
      <c r="B12" s="2" t="e">
        <f>Vorlage_Gruppen!$S$12</f>
        <v>#DIV/0!</v>
      </c>
      <c r="C12" s="83" t="e">
        <f>(C10*100)/C11</f>
        <v>#DIV/0!</v>
      </c>
      <c r="E12" s="1" t="s">
        <v>12</v>
      </c>
      <c r="F12" s="2" t="e">
        <f>Vorlage_Gruppen!$AA$12</f>
        <v>#DIV/0!</v>
      </c>
      <c r="G12" s="83" t="e">
        <f>(G10*100)/G11</f>
        <v>#DIV/0!</v>
      </c>
      <c r="I12" s="1" t="s">
        <v>12</v>
      </c>
      <c r="J12" s="2" t="e">
        <f>Vorlage_Gruppen!$AH$12</f>
        <v>#DIV/0!</v>
      </c>
      <c r="K12" s="83" t="e">
        <f>(K10*100)/K11</f>
        <v>#DIV/0!</v>
      </c>
    </row>
    <row r="15" spans="1:11" ht="13" x14ac:dyDescent="0.3">
      <c r="A15" s="74" t="str">
        <f>"April " &amp; $A$4</f>
        <v xml:space="preserve">April </v>
      </c>
      <c r="B15" s="79"/>
      <c r="C15" s="79"/>
      <c r="E15" s="74" t="s">
        <v>32</v>
      </c>
      <c r="F15" s="79"/>
      <c r="G15" s="79"/>
      <c r="I15" s="74" t="s">
        <v>33</v>
      </c>
      <c r="J15" s="79"/>
      <c r="K15" s="79"/>
    </row>
    <row r="17" spans="1:11" ht="13" x14ac:dyDescent="0.3">
      <c r="A17" s="1"/>
      <c r="B17" s="1"/>
      <c r="C17" s="1" t="s">
        <v>7</v>
      </c>
      <c r="E17" s="1"/>
      <c r="F17" s="1"/>
      <c r="G17" s="1" t="s">
        <v>7</v>
      </c>
      <c r="I17" s="1"/>
      <c r="J17" s="1"/>
      <c r="K17" s="1" t="s">
        <v>7</v>
      </c>
    </row>
    <row r="18" spans="1:11" ht="13" x14ac:dyDescent="0.3">
      <c r="A18" s="1" t="s">
        <v>11</v>
      </c>
      <c r="B18" s="2">
        <f>Vorlage_Gruppen!$AQ$10</f>
        <v>0</v>
      </c>
      <c r="C18" s="2">
        <f>SUM(B18:B18)</f>
        <v>0</v>
      </c>
      <c r="E18" s="1" t="s">
        <v>11</v>
      </c>
      <c r="F18" s="2">
        <f>Vorlage_Gruppen!$AY$10</f>
        <v>0</v>
      </c>
      <c r="G18" s="2">
        <f>SUM(F18:F18)</f>
        <v>0</v>
      </c>
      <c r="I18" s="1" t="s">
        <v>11</v>
      </c>
      <c r="J18" s="2">
        <f>Vorlage_Gruppen!$BG$10</f>
        <v>0</v>
      </c>
      <c r="K18" s="2">
        <f>SUM(J18:J18)</f>
        <v>0</v>
      </c>
    </row>
    <row r="19" spans="1:11" ht="13" x14ac:dyDescent="0.3">
      <c r="A19" s="1" t="s">
        <v>10</v>
      </c>
      <c r="B19" s="2">
        <f>Vorlage_Gruppen!$AQ$11</f>
        <v>0</v>
      </c>
      <c r="C19" s="2">
        <f>SUM(B19:B19)</f>
        <v>0</v>
      </c>
      <c r="E19" s="1" t="s">
        <v>10</v>
      </c>
      <c r="F19" s="2">
        <f>Vorlage_Gruppen!$AY$11</f>
        <v>0</v>
      </c>
      <c r="G19" s="2">
        <f>SUM(F19:F19)</f>
        <v>0</v>
      </c>
      <c r="I19" s="1" t="s">
        <v>10</v>
      </c>
      <c r="J19" s="2">
        <f>Vorlage_Gruppen!$BG$11</f>
        <v>0</v>
      </c>
      <c r="K19" s="2">
        <f>SUM(J19:J19)</f>
        <v>0</v>
      </c>
    </row>
    <row r="20" spans="1:11" ht="13" x14ac:dyDescent="0.3">
      <c r="A20" s="1" t="s">
        <v>12</v>
      </c>
      <c r="B20" s="2" t="e">
        <f>Vorlage_Gruppen!$AQ$12</f>
        <v>#DIV/0!</v>
      </c>
      <c r="C20" s="83" t="e">
        <f>(C18*100)/C19</f>
        <v>#DIV/0!</v>
      </c>
      <c r="E20" s="1" t="s">
        <v>12</v>
      </c>
      <c r="F20" s="2" t="e">
        <f>Vorlage_Gruppen!$AY$12</f>
        <v>#DIV/0!</v>
      </c>
      <c r="G20" s="83" t="e">
        <f>(G18*100)/G19</f>
        <v>#DIV/0!</v>
      </c>
      <c r="I20" s="1" t="s">
        <v>12</v>
      </c>
      <c r="J20" s="2" t="e">
        <f>Vorlage_Gruppen!$BG$12</f>
        <v>#DIV/0!</v>
      </c>
      <c r="K20" s="83" t="e">
        <f>(K18*100)/K19</f>
        <v>#DIV/0!</v>
      </c>
    </row>
    <row r="23" spans="1:11" ht="13" x14ac:dyDescent="0.3">
      <c r="A23" s="74" t="str">
        <f>"Juli " &amp; $A$4</f>
        <v xml:space="preserve">Juli </v>
      </c>
      <c r="B23" s="79"/>
      <c r="C23" s="79"/>
      <c r="E23" s="74" t="s">
        <v>35</v>
      </c>
      <c r="F23" s="79"/>
      <c r="G23" s="79"/>
      <c r="I23" s="74" t="s">
        <v>60</v>
      </c>
      <c r="J23" s="79"/>
      <c r="K23" s="79"/>
    </row>
    <row r="25" spans="1:11" ht="13" x14ac:dyDescent="0.3">
      <c r="A25" s="1"/>
      <c r="B25" s="1"/>
      <c r="C25" s="1" t="s">
        <v>7</v>
      </c>
      <c r="E25" s="1"/>
      <c r="F25" s="1"/>
      <c r="G25" s="1" t="s">
        <v>7</v>
      </c>
      <c r="I25" s="1"/>
      <c r="J25" s="1"/>
      <c r="K25" s="1" t="s">
        <v>7</v>
      </c>
    </row>
    <row r="26" spans="1:11" ht="13" x14ac:dyDescent="0.3">
      <c r="A26" s="1" t="s">
        <v>11</v>
      </c>
      <c r="B26" s="2">
        <f>Vorlage_Gruppen!$BO$10</f>
        <v>0</v>
      </c>
      <c r="C26" s="2">
        <f>SUM(B26:B26)</f>
        <v>0</v>
      </c>
      <c r="E26" s="1" t="s">
        <v>11</v>
      </c>
      <c r="F26" s="2">
        <f>Vorlage_Gruppen!$CE$10</f>
        <v>0</v>
      </c>
      <c r="G26" s="2">
        <f>SUM(F26:F26)</f>
        <v>0</v>
      </c>
      <c r="I26" s="1" t="s">
        <v>11</v>
      </c>
      <c r="J26" s="2">
        <f>Vorlage_Gruppen!$CM$10</f>
        <v>0</v>
      </c>
      <c r="K26" s="2">
        <f>SUM(J26:J26)</f>
        <v>0</v>
      </c>
    </row>
    <row r="27" spans="1:11" ht="13" x14ac:dyDescent="0.3">
      <c r="A27" s="1" t="s">
        <v>10</v>
      </c>
      <c r="B27" s="2">
        <f>Vorlage_Gruppen!$BO$11</f>
        <v>0</v>
      </c>
      <c r="C27" s="2">
        <f>SUM(B27:B27)</f>
        <v>0</v>
      </c>
      <c r="E27" s="1" t="s">
        <v>10</v>
      </c>
      <c r="F27" s="2">
        <f>Vorlage_Gruppen!$CE$11</f>
        <v>0</v>
      </c>
      <c r="G27" s="2">
        <f>SUM(F27:F27)</f>
        <v>0</v>
      </c>
      <c r="I27" s="1" t="s">
        <v>10</v>
      </c>
      <c r="J27" s="2">
        <f>Vorlage_Gruppen!$CM$11</f>
        <v>0</v>
      </c>
      <c r="K27" s="2">
        <f>SUM(J27:J27)</f>
        <v>0</v>
      </c>
    </row>
    <row r="28" spans="1:11" ht="13" x14ac:dyDescent="0.3">
      <c r="A28" s="1" t="s">
        <v>12</v>
      </c>
      <c r="B28" s="2" t="e">
        <f>Vorlage_Gruppen!$BO$12</f>
        <v>#DIV/0!</v>
      </c>
      <c r="C28" s="83" t="e">
        <f>(C26*100)/C27</f>
        <v>#DIV/0!</v>
      </c>
      <c r="E28" s="1" t="s">
        <v>12</v>
      </c>
      <c r="F28" s="2" t="e">
        <f>Vorlage_Gruppen!$CE$12</f>
        <v>#DIV/0!</v>
      </c>
      <c r="G28" s="83" t="e">
        <f>(G26*100)/G27</f>
        <v>#DIV/0!</v>
      </c>
      <c r="I28" s="1" t="s">
        <v>12</v>
      </c>
      <c r="J28" s="2" t="e">
        <f>Vorlage_Gruppen!$CM$12</f>
        <v>#DIV/0!</v>
      </c>
      <c r="K28" s="83" t="e">
        <f>(K26*100)/K27</f>
        <v>#DIV/0!</v>
      </c>
    </row>
    <row r="31" spans="1:11" ht="13" x14ac:dyDescent="0.3">
      <c r="A31" s="74" t="str">
        <f>"Oktober " &amp; $A$4</f>
        <v xml:space="preserve">Oktober </v>
      </c>
      <c r="B31" s="79"/>
      <c r="C31" s="79"/>
      <c r="E31" s="74" t="s">
        <v>62</v>
      </c>
      <c r="F31" s="79"/>
      <c r="G31" s="79"/>
      <c r="I31" s="74" t="s">
        <v>61</v>
      </c>
      <c r="J31" s="79"/>
      <c r="K31" s="79"/>
    </row>
    <row r="33" spans="1:11" ht="13" x14ac:dyDescent="0.3">
      <c r="A33" s="1"/>
      <c r="B33" s="1"/>
      <c r="C33" s="1" t="s">
        <v>7</v>
      </c>
      <c r="E33" s="1"/>
      <c r="F33" s="1"/>
      <c r="G33" s="1" t="s">
        <v>7</v>
      </c>
      <c r="I33" s="1"/>
      <c r="J33" s="1"/>
      <c r="K33" s="1" t="s">
        <v>7</v>
      </c>
    </row>
    <row r="34" spans="1:11" ht="13" x14ac:dyDescent="0.3">
      <c r="A34" s="1" t="s">
        <v>11</v>
      </c>
      <c r="B34" s="2">
        <f>Vorlage_Gruppen!$CU$10</f>
        <v>0</v>
      </c>
      <c r="C34" s="2">
        <f>SUM(B34:B34)</f>
        <v>0</v>
      </c>
      <c r="E34" s="1" t="s">
        <v>11</v>
      </c>
      <c r="F34" s="2">
        <f>Vorlage_Gruppen!$DC$10</f>
        <v>0</v>
      </c>
      <c r="G34" s="2">
        <f>SUM(F34:F34)</f>
        <v>0</v>
      </c>
      <c r="I34" s="1" t="s">
        <v>11</v>
      </c>
      <c r="J34" s="2">
        <f>Vorlage_Gruppen!$DK$10</f>
        <v>0</v>
      </c>
      <c r="K34" s="2">
        <f>SUM(J34:J34)</f>
        <v>0</v>
      </c>
    </row>
    <row r="35" spans="1:11" ht="13" x14ac:dyDescent="0.3">
      <c r="A35" s="1" t="s">
        <v>10</v>
      </c>
      <c r="B35" s="2">
        <f>Vorlage_Gruppen!$CU$11</f>
        <v>0</v>
      </c>
      <c r="C35" s="2">
        <f>SUM(B35:B35)</f>
        <v>0</v>
      </c>
      <c r="E35" s="1" t="s">
        <v>10</v>
      </c>
      <c r="F35" s="2">
        <f>Vorlage_Gruppen!$DC$11</f>
        <v>0</v>
      </c>
      <c r="G35" s="2">
        <f>SUM(F35:F35)</f>
        <v>0</v>
      </c>
      <c r="I35" s="1" t="s">
        <v>10</v>
      </c>
      <c r="J35" s="2">
        <f>Vorlage_Gruppen!$DK$11</f>
        <v>0</v>
      </c>
      <c r="K35" s="2">
        <f>SUM(J35:J35)</f>
        <v>0</v>
      </c>
    </row>
    <row r="36" spans="1:11" ht="13" x14ac:dyDescent="0.3">
      <c r="A36" s="1" t="s">
        <v>12</v>
      </c>
      <c r="B36" s="2" t="e">
        <f>Vorlage_Gruppen!$CU$12</f>
        <v>#DIV/0!</v>
      </c>
      <c r="C36" s="83" t="e">
        <f>(C34*100)/C35</f>
        <v>#DIV/0!</v>
      </c>
      <c r="E36" s="1" t="s">
        <v>12</v>
      </c>
      <c r="F36" s="2" t="e">
        <f>Vorlage_Gruppen!$DC$12</f>
        <v>#DIV/0!</v>
      </c>
      <c r="G36" s="83" t="e">
        <f>(G34*100)/G35</f>
        <v>#DIV/0!</v>
      </c>
      <c r="I36" s="1" t="s">
        <v>12</v>
      </c>
      <c r="J36" s="2" t="e">
        <f>Vorlage_Gruppen!$DK$12</f>
        <v>#DIV/0!</v>
      </c>
      <c r="K36" s="83" t="e">
        <f>(K34*100)/K35</f>
        <v>#DIV/0!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2">
    <pageSetUpPr fitToPage="1"/>
  </sheetPr>
  <dimension ref="A1:DE41"/>
  <sheetViews>
    <sheetView workbookViewId="0"/>
  </sheetViews>
  <sheetFormatPr baseColWidth="10" defaultRowHeight="12.5" x14ac:dyDescent="0.25"/>
  <cols>
    <col min="1" max="1" width="24.26953125" customWidth="1"/>
    <col min="2" max="2" width="7" customWidth="1"/>
    <col min="3" max="3" width="8.453125" customWidth="1"/>
    <col min="4" max="4" width="6.26953125" customWidth="1"/>
    <col min="5" max="5" width="3.54296875" customWidth="1"/>
    <col min="6" max="7" width="4.81640625" customWidth="1"/>
    <col min="8" max="8" width="5.81640625" customWidth="1"/>
    <col min="9" max="10" width="4.81640625" customWidth="1"/>
    <col min="11" max="11" width="4.54296875" customWidth="1"/>
    <col min="12" max="12" width="16" customWidth="1"/>
    <col min="13" max="13" width="5.453125" customWidth="1" collapsed="1"/>
    <col min="14" max="15" width="4.81640625" customWidth="1"/>
    <col min="16" max="16" width="5.81640625" customWidth="1"/>
    <col min="17" max="18" width="4.81640625" customWidth="1"/>
    <col min="19" max="19" width="4.54296875" customWidth="1"/>
    <col min="20" max="20" width="16" customWidth="1"/>
    <col min="21" max="21" width="5.453125" customWidth="1"/>
    <col min="22" max="23" width="4.81640625" customWidth="1"/>
    <col min="24" max="24" width="5.81640625" customWidth="1"/>
    <col min="25" max="26" width="4.81640625" customWidth="1"/>
    <col min="27" max="27" width="4.54296875" customWidth="1"/>
    <col min="28" max="28" width="16" customWidth="1"/>
    <col min="29" max="29" width="5.453125" customWidth="1"/>
    <col min="30" max="31" width="4.81640625" customWidth="1"/>
    <col min="32" max="32" width="5.81640625" customWidth="1"/>
    <col min="33" max="34" width="4.81640625" customWidth="1"/>
    <col min="35" max="35" width="4.54296875" customWidth="1"/>
    <col min="36" max="36" width="16" customWidth="1"/>
    <col min="37" max="37" width="5.453125" customWidth="1"/>
    <col min="38" max="39" width="4.81640625" customWidth="1"/>
    <col min="40" max="40" width="5.81640625" customWidth="1"/>
    <col min="41" max="42" width="4.81640625" customWidth="1"/>
    <col min="43" max="43" width="4.54296875" customWidth="1"/>
    <col min="44" max="44" width="16" customWidth="1"/>
    <col min="45" max="45" width="5.453125" customWidth="1"/>
    <col min="46" max="47" width="4.81640625" customWidth="1"/>
    <col min="48" max="48" width="5.81640625" customWidth="1"/>
    <col min="49" max="50" width="4.81640625" customWidth="1"/>
    <col min="51" max="51" width="4.54296875" customWidth="1"/>
    <col min="52" max="52" width="16" customWidth="1"/>
    <col min="53" max="53" width="5.453125" customWidth="1"/>
    <col min="54" max="55" width="4.81640625" customWidth="1"/>
    <col min="56" max="56" width="5.81640625" customWidth="1"/>
    <col min="57" max="58" width="4.81640625" customWidth="1"/>
    <col min="59" max="59" width="4.54296875" customWidth="1"/>
    <col min="60" max="60" width="16" customWidth="1"/>
    <col min="61" max="61" width="5.453125" customWidth="1"/>
    <col min="62" max="63" width="4.81640625" customWidth="1"/>
    <col min="64" max="64" width="5.81640625" customWidth="1"/>
    <col min="65" max="66" width="4.81640625" customWidth="1"/>
    <col min="67" max="67" width="4.54296875" customWidth="1"/>
    <col min="68" max="68" width="16" customWidth="1"/>
    <col min="69" max="69" width="5.453125" customWidth="1"/>
    <col min="70" max="71" width="4.81640625" customWidth="1"/>
    <col min="72" max="72" width="5.81640625" customWidth="1"/>
    <col min="73" max="74" width="4.81640625" customWidth="1"/>
    <col min="75" max="75" width="4.54296875" customWidth="1"/>
    <col min="76" max="76" width="16" customWidth="1"/>
    <col min="77" max="77" width="5.453125" customWidth="1"/>
    <col min="78" max="79" width="4.81640625" customWidth="1"/>
    <col min="80" max="80" width="5.81640625" customWidth="1"/>
    <col min="81" max="82" width="4.81640625" customWidth="1"/>
    <col min="83" max="83" width="4.54296875" customWidth="1"/>
    <col min="84" max="84" width="16" customWidth="1"/>
    <col min="85" max="85" width="5.453125" customWidth="1"/>
    <col min="86" max="87" width="4.81640625" customWidth="1"/>
    <col min="88" max="88" width="5.81640625" customWidth="1"/>
    <col min="89" max="90" width="4.81640625" customWidth="1"/>
    <col min="91" max="91" width="4.54296875" customWidth="1"/>
    <col min="92" max="92" width="16" customWidth="1"/>
    <col min="93" max="93" width="5.453125" customWidth="1"/>
    <col min="94" max="95" width="4.81640625" customWidth="1"/>
    <col min="96" max="96" width="5.81640625" customWidth="1"/>
    <col min="97" max="98" width="4.81640625" customWidth="1"/>
    <col min="99" max="99" width="4.54296875" customWidth="1"/>
    <col min="100" max="100" width="16" customWidth="1"/>
    <col min="101" max="101" width="5.453125" customWidth="1"/>
    <col min="102" max="103" width="4.81640625" customWidth="1"/>
    <col min="104" max="104" width="5.81640625" customWidth="1"/>
    <col min="105" max="106" width="4.81640625" customWidth="1"/>
    <col min="107" max="107" width="4.54296875" customWidth="1"/>
    <col min="108" max="108" width="16" customWidth="1"/>
    <col min="109" max="109" width="5.453125" customWidth="1"/>
    <col min="110" max="241" width="10.81640625" customWidth="1"/>
  </cols>
  <sheetData>
    <row r="1" spans="1:109" ht="17.5" x14ac:dyDescent="0.35">
      <c r="A1" s="5" t="s">
        <v>16</v>
      </c>
      <c r="B1" s="6"/>
      <c r="C1" s="6"/>
      <c r="D1" s="5"/>
      <c r="E1" s="5"/>
      <c r="F1" s="6"/>
      <c r="G1" s="6"/>
      <c r="H1" s="3"/>
      <c r="I1" s="3"/>
      <c r="J1" s="3"/>
      <c r="K1" s="3"/>
      <c r="L1" s="3"/>
      <c r="M1" s="3"/>
      <c r="N1" s="6"/>
      <c r="O1" s="6"/>
      <c r="P1" s="3"/>
      <c r="Q1" s="3"/>
      <c r="R1" s="3"/>
      <c r="S1" s="3"/>
      <c r="T1" s="3"/>
      <c r="U1" s="3"/>
      <c r="V1" s="6"/>
      <c r="W1" s="6"/>
      <c r="X1" s="3"/>
      <c r="Y1" s="3"/>
      <c r="Z1" s="3"/>
      <c r="AA1" s="3"/>
      <c r="AB1" s="3"/>
      <c r="AC1" s="3"/>
      <c r="AD1" s="6"/>
      <c r="AE1" s="6"/>
      <c r="AF1" s="3"/>
      <c r="AG1" s="3"/>
      <c r="AH1" s="3"/>
      <c r="AI1" s="3"/>
      <c r="AJ1" s="3"/>
      <c r="AK1" s="3"/>
      <c r="AL1" s="6"/>
      <c r="AM1" s="6"/>
      <c r="AN1" s="3"/>
      <c r="AO1" s="3"/>
      <c r="AP1" s="3"/>
      <c r="AQ1" s="3"/>
      <c r="AR1" s="3"/>
      <c r="AS1" s="3"/>
      <c r="AT1" s="6"/>
      <c r="AU1" s="6"/>
      <c r="AV1" s="3"/>
      <c r="AW1" s="3"/>
      <c r="AX1" s="3"/>
      <c r="AY1" s="3"/>
      <c r="AZ1" s="3"/>
      <c r="BA1" s="3"/>
      <c r="BB1" s="6"/>
      <c r="BC1" s="6"/>
      <c r="BD1" s="3"/>
      <c r="BE1" s="3"/>
      <c r="BF1" s="3"/>
      <c r="BG1" s="3"/>
      <c r="BH1" s="3"/>
      <c r="BI1" s="3"/>
      <c r="BJ1" s="6"/>
      <c r="BK1" s="6"/>
      <c r="BL1" s="3"/>
      <c r="BM1" s="3"/>
      <c r="BN1" s="3"/>
      <c r="BO1" s="3"/>
      <c r="BP1" s="3"/>
      <c r="BQ1" s="3"/>
      <c r="BR1" s="6"/>
      <c r="BS1" s="6"/>
      <c r="BT1" s="3"/>
      <c r="BU1" s="3"/>
      <c r="BV1" s="3"/>
      <c r="BW1" s="3"/>
      <c r="BX1" s="3"/>
      <c r="BY1" s="3"/>
      <c r="BZ1" s="6"/>
      <c r="CA1" s="6"/>
      <c r="CB1" s="3"/>
      <c r="CC1" s="3"/>
      <c r="CD1" s="3"/>
      <c r="CE1" s="3"/>
      <c r="CF1" s="3"/>
      <c r="CG1" s="3"/>
      <c r="CH1" s="6"/>
      <c r="CI1" s="6"/>
      <c r="CJ1" s="3"/>
      <c r="CK1" s="3"/>
      <c r="CL1" s="3"/>
      <c r="CM1" s="3"/>
      <c r="CN1" s="3"/>
      <c r="CO1" s="3"/>
      <c r="CP1" s="6"/>
      <c r="CQ1" s="6"/>
      <c r="CR1" s="3"/>
      <c r="CS1" s="3"/>
      <c r="CT1" s="3"/>
      <c r="CU1" s="3"/>
      <c r="CV1" s="3"/>
      <c r="CW1" s="3"/>
      <c r="CX1" s="6"/>
      <c r="CY1" s="6"/>
      <c r="CZ1" s="3"/>
      <c r="DA1" s="3"/>
      <c r="DB1" s="3"/>
      <c r="DC1" s="3"/>
      <c r="DD1" s="3"/>
      <c r="DE1" s="3"/>
    </row>
    <row r="2" spans="1:109" x14ac:dyDescent="0.25">
      <c r="A2" s="3" t="s">
        <v>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</row>
    <row r="3" spans="1:109" ht="13" thickBot="1" x14ac:dyDescent="0.3">
      <c r="A3" s="25">
        <v>2023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</row>
    <row r="4" spans="1:109" ht="13" x14ac:dyDescent="0.3">
      <c r="A4" s="145"/>
      <c r="B4" s="146"/>
      <c r="C4" s="146"/>
      <c r="D4" s="147"/>
      <c r="E4" s="3"/>
      <c r="F4" s="284" t="str">
        <f>IF($A$3&lt;&gt;"","Dezember " &amp; $A$3 -1,"")</f>
        <v>Dezember 2022</v>
      </c>
      <c r="G4" s="285"/>
      <c r="H4" s="285"/>
      <c r="I4" s="285"/>
      <c r="J4" s="285"/>
      <c r="K4" s="285"/>
      <c r="L4" s="286"/>
      <c r="M4" s="3"/>
      <c r="N4" s="287" t="str">
        <f>IF($A$3&lt;&gt;"","Januar " &amp; $A$3,"")</f>
        <v>Januar 2023</v>
      </c>
      <c r="O4" s="288"/>
      <c r="P4" s="288"/>
      <c r="Q4" s="288"/>
      <c r="R4" s="288"/>
      <c r="S4" s="288"/>
      <c r="T4" s="289"/>
      <c r="U4" s="3"/>
      <c r="V4" s="284" t="str">
        <f>IF($A$3&lt;&gt;"","Februar " &amp; $A$3,"")</f>
        <v>Februar 2023</v>
      </c>
      <c r="W4" s="285"/>
      <c r="X4" s="285"/>
      <c r="Y4" s="285"/>
      <c r="Z4" s="285"/>
      <c r="AA4" s="285"/>
      <c r="AB4" s="286"/>
      <c r="AC4" s="3"/>
      <c r="AD4" s="287" t="str">
        <f>IF($A$3&lt;&gt;"","März " &amp; $A$3,"")</f>
        <v>März 2023</v>
      </c>
      <c r="AE4" s="288"/>
      <c r="AF4" s="288"/>
      <c r="AG4" s="288"/>
      <c r="AH4" s="288"/>
      <c r="AI4" s="288"/>
      <c r="AJ4" s="289"/>
      <c r="AK4" s="3"/>
      <c r="AL4" s="284" t="str">
        <f>IF($A$3&lt;&gt;"","April " &amp; $A$3,"")</f>
        <v>April 2023</v>
      </c>
      <c r="AM4" s="285"/>
      <c r="AN4" s="285"/>
      <c r="AO4" s="285"/>
      <c r="AP4" s="285"/>
      <c r="AQ4" s="285"/>
      <c r="AR4" s="286"/>
      <c r="AS4" s="3"/>
      <c r="AT4" s="287" t="str">
        <f>IF($A$3&lt;&gt;"","Mai " &amp; $A$3,"")</f>
        <v>Mai 2023</v>
      </c>
      <c r="AU4" s="288"/>
      <c r="AV4" s="288"/>
      <c r="AW4" s="288"/>
      <c r="AX4" s="288"/>
      <c r="AY4" s="288"/>
      <c r="AZ4" s="289"/>
      <c r="BA4" s="3"/>
      <c r="BB4" s="284" t="str">
        <f>IF($A$3&lt;&gt;"","Juni " &amp; $A$3,"")</f>
        <v>Juni 2023</v>
      </c>
      <c r="BC4" s="285"/>
      <c r="BD4" s="285"/>
      <c r="BE4" s="285"/>
      <c r="BF4" s="285"/>
      <c r="BG4" s="285"/>
      <c r="BH4" s="286"/>
      <c r="BI4" s="3"/>
      <c r="BJ4" s="287" t="str">
        <f>IF($A$3&lt;&gt;"","Juli " &amp; $A$3,"")</f>
        <v>Juli 2023</v>
      </c>
      <c r="BK4" s="288"/>
      <c r="BL4" s="288"/>
      <c r="BM4" s="288"/>
      <c r="BN4" s="288"/>
      <c r="BO4" s="288"/>
      <c r="BP4" s="289"/>
      <c r="BQ4" s="3"/>
      <c r="BR4" s="284" t="str">
        <f>IF($A$3&lt;&gt;"","August " &amp; $A$3,"")</f>
        <v>August 2023</v>
      </c>
      <c r="BS4" s="285"/>
      <c r="BT4" s="285"/>
      <c r="BU4" s="285"/>
      <c r="BV4" s="285"/>
      <c r="BW4" s="285"/>
      <c r="BX4" s="286"/>
      <c r="BY4" s="3"/>
      <c r="BZ4" s="287" t="str">
        <f>IF($A$3&lt;&gt;"","September " &amp; $A$3,"")</f>
        <v>September 2023</v>
      </c>
      <c r="CA4" s="288"/>
      <c r="CB4" s="288"/>
      <c r="CC4" s="288"/>
      <c r="CD4" s="288"/>
      <c r="CE4" s="288"/>
      <c r="CF4" s="289"/>
      <c r="CG4" s="3"/>
      <c r="CH4" s="284" t="str">
        <f>IF($A$3&lt;&gt;"","Oktober " &amp; $A$3,"")</f>
        <v>Oktober 2023</v>
      </c>
      <c r="CI4" s="285"/>
      <c r="CJ4" s="285"/>
      <c r="CK4" s="285"/>
      <c r="CL4" s="285"/>
      <c r="CM4" s="285"/>
      <c r="CN4" s="286"/>
      <c r="CO4" s="3"/>
      <c r="CP4" s="287" t="str">
        <f>IF($A$3&lt;&gt;"","November " &amp; $A$3,"")</f>
        <v>November 2023</v>
      </c>
      <c r="CQ4" s="288"/>
      <c r="CR4" s="288"/>
      <c r="CS4" s="288"/>
      <c r="CT4" s="288"/>
      <c r="CU4" s="288"/>
      <c r="CV4" s="289"/>
      <c r="CW4" s="3"/>
      <c r="CX4" s="284" t="str">
        <f>IF($A$3&lt;&gt;"","Dezember " &amp; $A$3,"")</f>
        <v>Dezember 2023</v>
      </c>
      <c r="CY4" s="285"/>
      <c r="CZ4" s="285"/>
      <c r="DA4" s="285"/>
      <c r="DB4" s="285"/>
      <c r="DC4" s="285"/>
      <c r="DD4" s="286"/>
      <c r="DE4" s="3"/>
    </row>
    <row r="5" spans="1:109" x14ac:dyDescent="0.25">
      <c r="A5" s="89"/>
      <c r="B5" s="6"/>
      <c r="C5" s="6"/>
      <c r="D5" s="90"/>
      <c r="E5" s="90"/>
      <c r="F5" s="40"/>
      <c r="G5" s="41"/>
      <c r="H5" s="41"/>
      <c r="I5" s="41"/>
      <c r="J5" s="41"/>
      <c r="K5" s="42"/>
      <c r="L5" s="43"/>
      <c r="M5" s="89"/>
      <c r="N5" s="26"/>
      <c r="O5" s="27"/>
      <c r="P5" s="27"/>
      <c r="Q5" s="27"/>
      <c r="R5" s="27"/>
      <c r="S5" s="28"/>
      <c r="T5" s="29"/>
      <c r="U5" s="121"/>
      <c r="V5" s="40"/>
      <c r="W5" s="41"/>
      <c r="X5" s="41"/>
      <c r="Y5" s="41"/>
      <c r="Z5" s="41"/>
      <c r="AA5" s="42"/>
      <c r="AB5" s="43"/>
      <c r="AC5" s="89"/>
      <c r="AD5" s="26"/>
      <c r="AE5" s="27"/>
      <c r="AF5" s="27"/>
      <c r="AG5" s="27"/>
      <c r="AH5" s="27"/>
      <c r="AI5" s="28"/>
      <c r="AJ5" s="29"/>
      <c r="AK5" s="121"/>
      <c r="AL5" s="40"/>
      <c r="AM5" s="41"/>
      <c r="AN5" s="41"/>
      <c r="AO5" s="41"/>
      <c r="AP5" s="41"/>
      <c r="AQ5" s="42"/>
      <c r="AR5" s="43"/>
      <c r="AS5" s="89"/>
      <c r="AT5" s="26"/>
      <c r="AU5" s="27"/>
      <c r="AV5" s="27"/>
      <c r="AW5" s="27"/>
      <c r="AX5" s="27"/>
      <c r="AY5" s="28"/>
      <c r="AZ5" s="29"/>
      <c r="BA5" s="121"/>
      <c r="BB5" s="40"/>
      <c r="BC5" s="41"/>
      <c r="BD5" s="41"/>
      <c r="BE5" s="41"/>
      <c r="BF5" s="41"/>
      <c r="BG5" s="42"/>
      <c r="BH5" s="43"/>
      <c r="BI5" s="89"/>
      <c r="BJ5" s="26"/>
      <c r="BK5" s="27"/>
      <c r="BL5" s="27"/>
      <c r="BM5" s="27"/>
      <c r="BN5" s="27"/>
      <c r="BO5" s="28"/>
      <c r="BP5" s="29"/>
      <c r="BQ5" s="121"/>
      <c r="BR5" s="40"/>
      <c r="BS5" s="41"/>
      <c r="BT5" s="41"/>
      <c r="BU5" s="41"/>
      <c r="BV5" s="41"/>
      <c r="BW5" s="42"/>
      <c r="BX5" s="43"/>
      <c r="BY5" s="89"/>
      <c r="BZ5" s="26"/>
      <c r="CA5" s="27"/>
      <c r="CB5" s="27"/>
      <c r="CC5" s="27"/>
      <c r="CD5" s="27"/>
      <c r="CE5" s="28"/>
      <c r="CF5" s="29"/>
      <c r="CG5" s="121"/>
      <c r="CH5" s="40"/>
      <c r="CI5" s="41"/>
      <c r="CJ5" s="41"/>
      <c r="CK5" s="41"/>
      <c r="CL5" s="41"/>
      <c r="CM5" s="42"/>
      <c r="CN5" s="43"/>
      <c r="CO5" s="89"/>
      <c r="CP5" s="26"/>
      <c r="CQ5" s="27"/>
      <c r="CR5" s="27"/>
      <c r="CS5" s="27"/>
      <c r="CT5" s="27"/>
      <c r="CU5" s="28"/>
      <c r="CV5" s="29"/>
      <c r="CW5" s="121"/>
      <c r="CX5" s="40"/>
      <c r="CY5" s="41"/>
      <c r="CZ5" s="41"/>
      <c r="DA5" s="41"/>
      <c r="DB5" s="41"/>
      <c r="DC5" s="42"/>
      <c r="DD5" s="43"/>
      <c r="DE5" s="89"/>
    </row>
    <row r="6" spans="1:109" ht="23" x14ac:dyDescent="0.25">
      <c r="A6" s="100" t="s">
        <v>6</v>
      </c>
      <c r="B6" s="7" t="s">
        <v>9</v>
      </c>
      <c r="C6" s="7"/>
      <c r="D6" s="101" t="s">
        <v>5</v>
      </c>
      <c r="E6" s="139"/>
      <c r="F6" s="55" t="s">
        <v>0</v>
      </c>
      <c r="G6" s="56" t="s">
        <v>1</v>
      </c>
      <c r="H6" s="56" t="s">
        <v>2</v>
      </c>
      <c r="I6" s="56" t="s">
        <v>3</v>
      </c>
      <c r="J6" s="56" t="s">
        <v>4</v>
      </c>
      <c r="K6" s="57" t="s">
        <v>13</v>
      </c>
      <c r="L6" s="58" t="s">
        <v>19</v>
      </c>
      <c r="M6" s="131"/>
      <c r="N6" s="55" t="s">
        <v>0</v>
      </c>
      <c r="O6" s="56" t="s">
        <v>1</v>
      </c>
      <c r="P6" s="56" t="s">
        <v>2</v>
      </c>
      <c r="Q6" s="56" t="s">
        <v>3</v>
      </c>
      <c r="R6" s="56" t="s">
        <v>4</v>
      </c>
      <c r="S6" s="57" t="s">
        <v>13</v>
      </c>
      <c r="T6" s="58" t="s">
        <v>19</v>
      </c>
      <c r="U6" s="122"/>
      <c r="V6" s="55" t="s">
        <v>0</v>
      </c>
      <c r="W6" s="56" t="s">
        <v>1</v>
      </c>
      <c r="X6" s="56" t="s">
        <v>2</v>
      </c>
      <c r="Y6" s="56" t="s">
        <v>3</v>
      </c>
      <c r="Z6" s="56" t="s">
        <v>4</v>
      </c>
      <c r="AA6" s="56" t="s">
        <v>13</v>
      </c>
      <c r="AB6" s="138" t="s">
        <v>19</v>
      </c>
      <c r="AC6" s="131"/>
      <c r="AD6" s="55" t="s">
        <v>0</v>
      </c>
      <c r="AE6" s="56" t="s">
        <v>1</v>
      </c>
      <c r="AF6" s="56" t="s">
        <v>2</v>
      </c>
      <c r="AG6" s="56" t="s">
        <v>3</v>
      </c>
      <c r="AH6" s="56" t="s">
        <v>4</v>
      </c>
      <c r="AI6" s="57" t="s">
        <v>13</v>
      </c>
      <c r="AJ6" s="58" t="s">
        <v>19</v>
      </c>
      <c r="AK6" s="122"/>
      <c r="AL6" s="55" t="s">
        <v>0</v>
      </c>
      <c r="AM6" s="56" t="s">
        <v>1</v>
      </c>
      <c r="AN6" s="56" t="s">
        <v>2</v>
      </c>
      <c r="AO6" s="56" t="s">
        <v>3</v>
      </c>
      <c r="AP6" s="56" t="s">
        <v>4</v>
      </c>
      <c r="AQ6" s="56" t="s">
        <v>13</v>
      </c>
      <c r="AR6" s="138" t="s">
        <v>19</v>
      </c>
      <c r="AS6" s="131"/>
      <c r="AT6" s="55" t="s">
        <v>0</v>
      </c>
      <c r="AU6" s="56" t="s">
        <v>1</v>
      </c>
      <c r="AV6" s="56" t="s">
        <v>2</v>
      </c>
      <c r="AW6" s="56" t="s">
        <v>3</v>
      </c>
      <c r="AX6" s="56" t="s">
        <v>4</v>
      </c>
      <c r="AY6" s="57" t="s">
        <v>13</v>
      </c>
      <c r="AZ6" s="58" t="s">
        <v>19</v>
      </c>
      <c r="BA6" s="122"/>
      <c r="BB6" s="55" t="s">
        <v>0</v>
      </c>
      <c r="BC6" s="56" t="s">
        <v>1</v>
      </c>
      <c r="BD6" s="56" t="s">
        <v>2</v>
      </c>
      <c r="BE6" s="56" t="s">
        <v>3</v>
      </c>
      <c r="BF6" s="56" t="s">
        <v>4</v>
      </c>
      <c r="BG6" s="56" t="s">
        <v>13</v>
      </c>
      <c r="BH6" s="138" t="s">
        <v>19</v>
      </c>
      <c r="BI6" s="131"/>
      <c r="BJ6" s="55" t="s">
        <v>0</v>
      </c>
      <c r="BK6" s="56" t="s">
        <v>1</v>
      </c>
      <c r="BL6" s="56" t="s">
        <v>2</v>
      </c>
      <c r="BM6" s="56" t="s">
        <v>3</v>
      </c>
      <c r="BN6" s="56" t="s">
        <v>4</v>
      </c>
      <c r="BO6" s="57" t="s">
        <v>13</v>
      </c>
      <c r="BP6" s="58" t="s">
        <v>19</v>
      </c>
      <c r="BQ6" s="122"/>
      <c r="BR6" s="55" t="s">
        <v>0</v>
      </c>
      <c r="BS6" s="56" t="s">
        <v>1</v>
      </c>
      <c r="BT6" s="56" t="s">
        <v>2</v>
      </c>
      <c r="BU6" s="56" t="s">
        <v>3</v>
      </c>
      <c r="BV6" s="56" t="s">
        <v>4</v>
      </c>
      <c r="BW6" s="56" t="s">
        <v>13</v>
      </c>
      <c r="BX6" s="138" t="s">
        <v>19</v>
      </c>
      <c r="BY6" s="131"/>
      <c r="BZ6" s="55" t="s">
        <v>0</v>
      </c>
      <c r="CA6" s="56" t="s">
        <v>1</v>
      </c>
      <c r="CB6" s="56" t="s">
        <v>2</v>
      </c>
      <c r="CC6" s="56" t="s">
        <v>3</v>
      </c>
      <c r="CD6" s="56" t="s">
        <v>4</v>
      </c>
      <c r="CE6" s="57" t="s">
        <v>13</v>
      </c>
      <c r="CF6" s="58" t="s">
        <v>19</v>
      </c>
      <c r="CG6" s="122"/>
      <c r="CH6" s="55" t="s">
        <v>0</v>
      </c>
      <c r="CI6" s="56" t="s">
        <v>1</v>
      </c>
      <c r="CJ6" s="56" t="s">
        <v>2</v>
      </c>
      <c r="CK6" s="56" t="s">
        <v>3</v>
      </c>
      <c r="CL6" s="56" t="s">
        <v>4</v>
      </c>
      <c r="CM6" s="56" t="s">
        <v>13</v>
      </c>
      <c r="CN6" s="138" t="s">
        <v>19</v>
      </c>
      <c r="CO6" s="131"/>
      <c r="CP6" s="55" t="s">
        <v>0</v>
      </c>
      <c r="CQ6" s="56" t="s">
        <v>1</v>
      </c>
      <c r="CR6" s="56" t="s">
        <v>2</v>
      </c>
      <c r="CS6" s="56" t="s">
        <v>3</v>
      </c>
      <c r="CT6" s="56" t="s">
        <v>4</v>
      </c>
      <c r="CU6" s="57" t="s">
        <v>13</v>
      </c>
      <c r="CV6" s="58" t="s">
        <v>19</v>
      </c>
      <c r="CW6" s="122"/>
      <c r="CX6" s="55" t="s">
        <v>0</v>
      </c>
      <c r="CY6" s="56" t="s">
        <v>1</v>
      </c>
      <c r="CZ6" s="56" t="s">
        <v>2</v>
      </c>
      <c r="DA6" s="56" t="s">
        <v>3</v>
      </c>
      <c r="DB6" s="56" t="s">
        <v>4</v>
      </c>
      <c r="DC6" s="56" t="s">
        <v>13</v>
      </c>
      <c r="DD6" s="138" t="s">
        <v>19</v>
      </c>
      <c r="DE6" s="131"/>
    </row>
    <row r="7" spans="1:109" x14ac:dyDescent="0.25">
      <c r="A7" s="13"/>
      <c r="B7" s="88"/>
      <c r="C7" s="109" t="str">
        <f t="shared" ref="C7:C32" ca="1" si="0">IF(B7&lt;&gt;"",DATEDIF(B7,TODAY(),"Y")&amp;" J, " &amp; DATEDIF(B7,TODAY(),"YM")&amp; " Mt","")</f>
        <v/>
      </c>
      <c r="D7" s="102" t="s">
        <v>15</v>
      </c>
      <c r="E7" s="140"/>
      <c r="F7" s="44"/>
      <c r="G7" s="76"/>
      <c r="H7" s="19"/>
      <c r="I7" s="19"/>
      <c r="J7" s="76"/>
      <c r="K7" s="24" t="s">
        <v>18</v>
      </c>
      <c r="L7" s="45"/>
      <c r="M7" s="132"/>
      <c r="N7" s="30" t="str">
        <f>IF(F7="","",F7)</f>
        <v/>
      </c>
      <c r="O7" s="16" t="str">
        <f t="shared" ref="O7:R22" si="1">IF(G7="","",G7)</f>
        <v/>
      </c>
      <c r="P7" s="16" t="str">
        <f t="shared" si="1"/>
        <v/>
      </c>
      <c r="Q7" s="16" t="str">
        <f t="shared" si="1"/>
        <v/>
      </c>
      <c r="R7" s="16" t="str">
        <f t="shared" si="1"/>
        <v/>
      </c>
      <c r="S7" s="23" t="s">
        <v>18</v>
      </c>
      <c r="T7" s="31"/>
      <c r="U7" s="123"/>
      <c r="V7" s="44" t="str">
        <f>IF(N7="","",N7)</f>
        <v/>
      </c>
      <c r="W7" s="19" t="str">
        <f t="shared" ref="W7:Z34" si="2">IF(O7="","",O7)</f>
        <v/>
      </c>
      <c r="X7" s="19" t="str">
        <f t="shared" si="2"/>
        <v/>
      </c>
      <c r="Y7" s="19" t="str">
        <f t="shared" si="2"/>
        <v/>
      </c>
      <c r="Z7" s="19" t="str">
        <f t="shared" si="2"/>
        <v/>
      </c>
      <c r="AA7" s="24" t="s">
        <v>18</v>
      </c>
      <c r="AB7" s="45"/>
      <c r="AC7" s="132"/>
      <c r="AD7" s="30" t="str">
        <f>IF(V7="","",V7)</f>
        <v/>
      </c>
      <c r="AE7" s="16" t="str">
        <f t="shared" ref="AE7:AH34" si="3">IF(W7="","",W7)</f>
        <v/>
      </c>
      <c r="AF7" s="16" t="str">
        <f t="shared" si="3"/>
        <v/>
      </c>
      <c r="AG7" s="16" t="str">
        <f t="shared" si="3"/>
        <v/>
      </c>
      <c r="AH7" s="16" t="str">
        <f t="shared" si="3"/>
        <v/>
      </c>
      <c r="AI7" s="23" t="s">
        <v>18</v>
      </c>
      <c r="AJ7" s="31"/>
      <c r="AK7" s="123"/>
      <c r="AL7" s="44" t="str">
        <f>IF(AD7="","",AD7)</f>
        <v/>
      </c>
      <c r="AM7" s="19" t="str">
        <f t="shared" ref="AM7:AP34" si="4">IF(AE7="","",AE7)</f>
        <v/>
      </c>
      <c r="AN7" s="19" t="str">
        <f t="shared" si="4"/>
        <v/>
      </c>
      <c r="AO7" s="19" t="str">
        <f t="shared" si="4"/>
        <v/>
      </c>
      <c r="AP7" s="19" t="str">
        <f t="shared" si="4"/>
        <v/>
      </c>
      <c r="AQ7" s="24" t="s">
        <v>18</v>
      </c>
      <c r="AR7" s="45"/>
      <c r="AS7" s="132"/>
      <c r="AT7" s="30" t="str">
        <f>IF(AL7="","",AL7)</f>
        <v/>
      </c>
      <c r="AU7" s="16" t="str">
        <f t="shared" ref="AU7:AX34" si="5">IF(AM7="","",AM7)</f>
        <v/>
      </c>
      <c r="AV7" s="16" t="str">
        <f t="shared" si="5"/>
        <v/>
      </c>
      <c r="AW7" s="16" t="str">
        <f t="shared" si="5"/>
        <v/>
      </c>
      <c r="AX7" s="16" t="str">
        <f t="shared" si="5"/>
        <v/>
      </c>
      <c r="AY7" s="23" t="s">
        <v>18</v>
      </c>
      <c r="AZ7" s="31"/>
      <c r="BA7" s="123"/>
      <c r="BB7" s="44" t="str">
        <f>IF(AT7="","",AT7)</f>
        <v/>
      </c>
      <c r="BC7" s="19" t="str">
        <f t="shared" ref="BC7:BF34" si="6">IF(AU7="","",AU7)</f>
        <v/>
      </c>
      <c r="BD7" s="19" t="str">
        <f t="shared" si="6"/>
        <v/>
      </c>
      <c r="BE7" s="19" t="str">
        <f t="shared" si="6"/>
        <v/>
      </c>
      <c r="BF7" s="19" t="str">
        <f t="shared" si="6"/>
        <v/>
      </c>
      <c r="BG7" s="24" t="s">
        <v>18</v>
      </c>
      <c r="BH7" s="45"/>
      <c r="BI7" s="132"/>
      <c r="BJ7" s="30" t="str">
        <f>IF(BB7="","",BB7)</f>
        <v/>
      </c>
      <c r="BK7" s="16" t="str">
        <f t="shared" ref="BK7:BN34" si="7">IF(BC7="","",BC7)</f>
        <v/>
      </c>
      <c r="BL7" s="16" t="str">
        <f t="shared" si="7"/>
        <v/>
      </c>
      <c r="BM7" s="16" t="str">
        <f t="shared" si="7"/>
        <v/>
      </c>
      <c r="BN7" s="16" t="str">
        <f t="shared" si="7"/>
        <v/>
      </c>
      <c r="BO7" s="23" t="s">
        <v>18</v>
      </c>
      <c r="BP7" s="31"/>
      <c r="BQ7" s="123"/>
      <c r="BR7" s="44" t="str">
        <f>IF(BJ7="","",BJ7)</f>
        <v/>
      </c>
      <c r="BS7" s="19" t="str">
        <f t="shared" ref="BS7:BV34" si="8">IF(BK7="","",BK7)</f>
        <v/>
      </c>
      <c r="BT7" s="19" t="str">
        <f t="shared" si="8"/>
        <v/>
      </c>
      <c r="BU7" s="19" t="str">
        <f t="shared" si="8"/>
        <v/>
      </c>
      <c r="BV7" s="19" t="str">
        <f t="shared" si="8"/>
        <v/>
      </c>
      <c r="BW7" s="24" t="s">
        <v>18</v>
      </c>
      <c r="BX7" s="45"/>
      <c r="BY7" s="132"/>
      <c r="BZ7" s="30" t="str">
        <f>IF(BR7="","",BR7)</f>
        <v/>
      </c>
      <c r="CA7" s="16" t="str">
        <f t="shared" ref="CA7:CD34" si="9">IF(BS7="","",BS7)</f>
        <v/>
      </c>
      <c r="CB7" s="16" t="str">
        <f t="shared" si="9"/>
        <v/>
      </c>
      <c r="CC7" s="16" t="str">
        <f t="shared" si="9"/>
        <v/>
      </c>
      <c r="CD7" s="16" t="str">
        <f t="shared" si="9"/>
        <v/>
      </c>
      <c r="CE7" s="23" t="s">
        <v>18</v>
      </c>
      <c r="CF7" s="31"/>
      <c r="CG7" s="123"/>
      <c r="CH7" s="44" t="str">
        <f>IF(BZ7="","",BZ7)</f>
        <v/>
      </c>
      <c r="CI7" s="19" t="str">
        <f t="shared" ref="CI7:CL34" si="10">IF(CA7="","",CA7)</f>
        <v/>
      </c>
      <c r="CJ7" s="19" t="str">
        <f t="shared" si="10"/>
        <v/>
      </c>
      <c r="CK7" s="19" t="str">
        <f t="shared" si="10"/>
        <v/>
      </c>
      <c r="CL7" s="19" t="str">
        <f t="shared" si="10"/>
        <v/>
      </c>
      <c r="CM7" s="24" t="s">
        <v>18</v>
      </c>
      <c r="CN7" s="45"/>
      <c r="CO7" s="132"/>
      <c r="CP7" s="30" t="str">
        <f>IF(CH7="","",CH7)</f>
        <v/>
      </c>
      <c r="CQ7" s="16" t="str">
        <f t="shared" ref="CQ7:CT34" si="11">IF(CI7="","",CI7)</f>
        <v/>
      </c>
      <c r="CR7" s="16" t="str">
        <f t="shared" si="11"/>
        <v/>
      </c>
      <c r="CS7" s="16" t="str">
        <f t="shared" si="11"/>
        <v/>
      </c>
      <c r="CT7" s="16" t="str">
        <f t="shared" si="11"/>
        <v/>
      </c>
      <c r="CU7" s="23" t="s">
        <v>18</v>
      </c>
      <c r="CV7" s="31"/>
      <c r="CW7" s="123"/>
      <c r="CX7" s="44" t="str">
        <f>IF(CP7="","",CP7)</f>
        <v/>
      </c>
      <c r="CY7" s="19" t="str">
        <f t="shared" ref="CY7:DB34" si="12">IF(CQ7="","",CQ7)</f>
        <v/>
      </c>
      <c r="CZ7" s="19" t="str">
        <f t="shared" si="12"/>
        <v/>
      </c>
      <c r="DA7" s="19" t="str">
        <f t="shared" si="12"/>
        <v/>
      </c>
      <c r="DB7" s="19" t="str">
        <f t="shared" si="12"/>
        <v/>
      </c>
      <c r="DC7" s="24" t="s">
        <v>18</v>
      </c>
      <c r="DD7" s="45"/>
      <c r="DE7" s="132"/>
    </row>
    <row r="8" spans="1:109" x14ac:dyDescent="0.25">
      <c r="A8" s="14"/>
      <c r="B8" s="88"/>
      <c r="C8" s="109" t="str">
        <f t="shared" ca="1" si="0"/>
        <v/>
      </c>
      <c r="D8" s="102" t="s">
        <v>15</v>
      </c>
      <c r="E8" s="140"/>
      <c r="F8" s="44"/>
      <c r="G8" s="19"/>
      <c r="H8" s="19"/>
      <c r="I8" s="19"/>
      <c r="J8" s="19"/>
      <c r="K8" s="24" t="s">
        <v>18</v>
      </c>
      <c r="L8" s="77"/>
      <c r="M8" s="132"/>
      <c r="N8" s="30" t="str">
        <f t="shared" ref="N8:R34" si="13">IF(F8="","",F8)</f>
        <v/>
      </c>
      <c r="O8" s="16" t="str">
        <f t="shared" si="1"/>
        <v/>
      </c>
      <c r="P8" s="16" t="str">
        <f t="shared" si="1"/>
        <v/>
      </c>
      <c r="Q8" s="16" t="str">
        <f t="shared" si="1"/>
        <v/>
      </c>
      <c r="R8" s="16" t="str">
        <f t="shared" si="1"/>
        <v/>
      </c>
      <c r="S8" s="23" t="s">
        <v>18</v>
      </c>
      <c r="T8" s="31"/>
      <c r="U8" s="123"/>
      <c r="V8" s="44" t="str">
        <f t="shared" ref="V8:V34" si="14">IF(N8="","",N8)</f>
        <v/>
      </c>
      <c r="W8" s="19" t="str">
        <f t="shared" si="2"/>
        <v/>
      </c>
      <c r="X8" s="19" t="str">
        <f t="shared" si="2"/>
        <v/>
      </c>
      <c r="Y8" s="19" t="str">
        <f t="shared" si="2"/>
        <v/>
      </c>
      <c r="Z8" s="19" t="str">
        <f t="shared" si="2"/>
        <v/>
      </c>
      <c r="AA8" s="24" t="s">
        <v>18</v>
      </c>
      <c r="AB8" s="45"/>
      <c r="AC8" s="132"/>
      <c r="AD8" s="30" t="str">
        <f t="shared" ref="AD8:AD34" si="15">IF(V8="","",V8)</f>
        <v/>
      </c>
      <c r="AE8" s="16" t="str">
        <f t="shared" si="3"/>
        <v/>
      </c>
      <c r="AF8" s="16" t="str">
        <f t="shared" si="3"/>
        <v/>
      </c>
      <c r="AG8" s="16" t="str">
        <f t="shared" si="3"/>
        <v/>
      </c>
      <c r="AH8" s="16" t="str">
        <f t="shared" si="3"/>
        <v/>
      </c>
      <c r="AI8" s="23" t="s">
        <v>18</v>
      </c>
      <c r="AJ8" s="31"/>
      <c r="AK8" s="123"/>
      <c r="AL8" s="44" t="str">
        <f t="shared" ref="AL8:AL34" si="16">IF(AD8="","",AD8)</f>
        <v/>
      </c>
      <c r="AM8" s="19" t="str">
        <f t="shared" si="4"/>
        <v/>
      </c>
      <c r="AN8" s="19" t="str">
        <f t="shared" si="4"/>
        <v/>
      </c>
      <c r="AO8" s="19" t="str">
        <f t="shared" si="4"/>
        <v/>
      </c>
      <c r="AP8" s="19" t="str">
        <f t="shared" si="4"/>
        <v/>
      </c>
      <c r="AQ8" s="24" t="s">
        <v>18</v>
      </c>
      <c r="AR8" s="45"/>
      <c r="AS8" s="132"/>
      <c r="AT8" s="30" t="str">
        <f t="shared" ref="AT8:AT34" si="17">IF(AL8="","",AL8)</f>
        <v/>
      </c>
      <c r="AU8" s="16" t="str">
        <f t="shared" si="5"/>
        <v/>
      </c>
      <c r="AV8" s="16" t="str">
        <f t="shared" si="5"/>
        <v/>
      </c>
      <c r="AW8" s="16" t="str">
        <f t="shared" si="5"/>
        <v/>
      </c>
      <c r="AX8" s="16" t="str">
        <f t="shared" si="5"/>
        <v/>
      </c>
      <c r="AY8" s="23" t="s">
        <v>18</v>
      </c>
      <c r="AZ8" s="31"/>
      <c r="BA8" s="123"/>
      <c r="BB8" s="44" t="str">
        <f t="shared" ref="BB8:BB34" si="18">IF(AT8="","",AT8)</f>
        <v/>
      </c>
      <c r="BC8" s="19" t="str">
        <f t="shared" si="6"/>
        <v/>
      </c>
      <c r="BD8" s="19" t="str">
        <f t="shared" si="6"/>
        <v/>
      </c>
      <c r="BE8" s="19" t="str">
        <f t="shared" si="6"/>
        <v/>
      </c>
      <c r="BF8" s="19" t="str">
        <f t="shared" si="6"/>
        <v/>
      </c>
      <c r="BG8" s="24" t="s">
        <v>18</v>
      </c>
      <c r="BH8" s="45"/>
      <c r="BI8" s="132"/>
      <c r="BJ8" s="30" t="str">
        <f t="shared" ref="BJ8:BJ34" si="19">IF(BB8="","",BB8)</f>
        <v/>
      </c>
      <c r="BK8" s="16" t="str">
        <f t="shared" si="7"/>
        <v/>
      </c>
      <c r="BL8" s="16" t="str">
        <f t="shared" si="7"/>
        <v/>
      </c>
      <c r="BM8" s="16" t="str">
        <f t="shared" si="7"/>
        <v/>
      </c>
      <c r="BN8" s="16" t="str">
        <f t="shared" si="7"/>
        <v/>
      </c>
      <c r="BO8" s="23" t="s">
        <v>18</v>
      </c>
      <c r="BP8" s="31"/>
      <c r="BQ8" s="123"/>
      <c r="BR8" s="44" t="str">
        <f t="shared" ref="BR8:BR34" si="20">IF(BJ8="","",BJ8)</f>
        <v/>
      </c>
      <c r="BS8" s="19" t="str">
        <f t="shared" si="8"/>
        <v/>
      </c>
      <c r="BT8" s="19" t="str">
        <f t="shared" si="8"/>
        <v/>
      </c>
      <c r="BU8" s="19" t="str">
        <f t="shared" si="8"/>
        <v/>
      </c>
      <c r="BV8" s="19" t="str">
        <f t="shared" si="8"/>
        <v/>
      </c>
      <c r="BW8" s="24" t="s">
        <v>18</v>
      </c>
      <c r="BX8" s="45"/>
      <c r="BY8" s="132"/>
      <c r="BZ8" s="30" t="str">
        <f t="shared" ref="BZ8:BZ34" si="21">IF(BR8="","",BR8)</f>
        <v/>
      </c>
      <c r="CA8" s="16" t="str">
        <f t="shared" si="9"/>
        <v/>
      </c>
      <c r="CB8" s="16" t="str">
        <f t="shared" si="9"/>
        <v/>
      </c>
      <c r="CC8" s="16" t="str">
        <f t="shared" si="9"/>
        <v/>
      </c>
      <c r="CD8" s="16" t="str">
        <f t="shared" si="9"/>
        <v/>
      </c>
      <c r="CE8" s="23" t="s">
        <v>18</v>
      </c>
      <c r="CF8" s="31"/>
      <c r="CG8" s="123"/>
      <c r="CH8" s="44" t="str">
        <f t="shared" ref="CH8:CH34" si="22">IF(BZ8="","",BZ8)</f>
        <v/>
      </c>
      <c r="CI8" s="19" t="str">
        <f t="shared" si="10"/>
        <v/>
      </c>
      <c r="CJ8" s="19" t="str">
        <f t="shared" si="10"/>
        <v/>
      </c>
      <c r="CK8" s="19" t="str">
        <f t="shared" si="10"/>
        <v/>
      </c>
      <c r="CL8" s="19" t="str">
        <f t="shared" si="10"/>
        <v/>
      </c>
      <c r="CM8" s="24" t="s">
        <v>18</v>
      </c>
      <c r="CN8" s="45"/>
      <c r="CO8" s="132"/>
      <c r="CP8" s="30" t="str">
        <f t="shared" ref="CP8:CP34" si="23">IF(CH8="","",CH8)</f>
        <v/>
      </c>
      <c r="CQ8" s="16" t="str">
        <f t="shared" si="11"/>
        <v/>
      </c>
      <c r="CR8" s="16" t="str">
        <f t="shared" si="11"/>
        <v/>
      </c>
      <c r="CS8" s="16" t="str">
        <f t="shared" si="11"/>
        <v/>
      </c>
      <c r="CT8" s="16" t="str">
        <f t="shared" si="11"/>
        <v/>
      </c>
      <c r="CU8" s="23" t="s">
        <v>18</v>
      </c>
      <c r="CV8" s="31"/>
      <c r="CW8" s="123"/>
      <c r="CX8" s="44" t="str">
        <f t="shared" ref="CX8:CX34" si="24">IF(CP8="","",CP8)</f>
        <v/>
      </c>
      <c r="CY8" s="19" t="str">
        <f t="shared" si="12"/>
        <v/>
      </c>
      <c r="CZ8" s="19" t="str">
        <f t="shared" si="12"/>
        <v/>
      </c>
      <c r="DA8" s="19" t="str">
        <f t="shared" si="12"/>
        <v/>
      </c>
      <c r="DB8" s="19" t="str">
        <f t="shared" si="12"/>
        <v/>
      </c>
      <c r="DC8" s="24" t="s">
        <v>18</v>
      </c>
      <c r="DD8" s="45"/>
      <c r="DE8" s="132"/>
    </row>
    <row r="9" spans="1:109" x14ac:dyDescent="0.25">
      <c r="A9" s="12"/>
      <c r="B9" s="113"/>
      <c r="C9" s="109" t="str">
        <f t="shared" ca="1" si="0"/>
        <v/>
      </c>
      <c r="D9" s="103" t="s">
        <v>14</v>
      </c>
      <c r="E9" s="141"/>
      <c r="F9" s="44"/>
      <c r="G9" s="19"/>
      <c r="H9" s="19"/>
      <c r="I9" s="19"/>
      <c r="J9" s="19"/>
      <c r="K9" s="24" t="s">
        <v>18</v>
      </c>
      <c r="L9" s="45"/>
      <c r="M9" s="133"/>
      <c r="N9" s="30" t="str">
        <f t="shared" si="13"/>
        <v/>
      </c>
      <c r="O9" s="16" t="str">
        <f t="shared" si="1"/>
        <v/>
      </c>
      <c r="P9" s="16" t="str">
        <f t="shared" si="1"/>
        <v/>
      </c>
      <c r="Q9" s="16" t="str">
        <f t="shared" si="1"/>
        <v/>
      </c>
      <c r="R9" s="16" t="str">
        <f t="shared" si="1"/>
        <v/>
      </c>
      <c r="S9" s="23" t="s">
        <v>18</v>
      </c>
      <c r="T9" s="31"/>
      <c r="U9" s="124"/>
      <c r="V9" s="44" t="str">
        <f t="shared" si="14"/>
        <v/>
      </c>
      <c r="W9" s="19" t="str">
        <f t="shared" si="2"/>
        <v/>
      </c>
      <c r="X9" s="19" t="str">
        <f t="shared" si="2"/>
        <v/>
      </c>
      <c r="Y9" s="19" t="str">
        <f t="shared" si="2"/>
        <v/>
      </c>
      <c r="Z9" s="19" t="str">
        <f t="shared" si="2"/>
        <v/>
      </c>
      <c r="AA9" s="24" t="s">
        <v>18</v>
      </c>
      <c r="AB9" s="45"/>
      <c r="AC9" s="133"/>
      <c r="AD9" s="30" t="str">
        <f t="shared" si="15"/>
        <v/>
      </c>
      <c r="AE9" s="16" t="str">
        <f t="shared" si="3"/>
        <v/>
      </c>
      <c r="AF9" s="16" t="str">
        <f t="shared" si="3"/>
        <v/>
      </c>
      <c r="AG9" s="16" t="str">
        <f t="shared" si="3"/>
        <v/>
      </c>
      <c r="AH9" s="16" t="str">
        <f t="shared" si="3"/>
        <v/>
      </c>
      <c r="AI9" s="23" t="s">
        <v>18</v>
      </c>
      <c r="AJ9" s="31"/>
      <c r="AK9" s="124"/>
      <c r="AL9" s="44" t="str">
        <f t="shared" si="16"/>
        <v/>
      </c>
      <c r="AM9" s="19" t="str">
        <f t="shared" si="4"/>
        <v/>
      </c>
      <c r="AN9" s="19" t="str">
        <f t="shared" si="4"/>
        <v/>
      </c>
      <c r="AO9" s="19" t="str">
        <f t="shared" si="4"/>
        <v/>
      </c>
      <c r="AP9" s="19" t="str">
        <f t="shared" si="4"/>
        <v/>
      </c>
      <c r="AQ9" s="24" t="s">
        <v>18</v>
      </c>
      <c r="AR9" s="45"/>
      <c r="AS9" s="133"/>
      <c r="AT9" s="30" t="str">
        <f t="shared" si="17"/>
        <v/>
      </c>
      <c r="AU9" s="16" t="str">
        <f t="shared" si="5"/>
        <v/>
      </c>
      <c r="AV9" s="16" t="str">
        <f t="shared" si="5"/>
        <v/>
      </c>
      <c r="AW9" s="16" t="str">
        <f t="shared" si="5"/>
        <v/>
      </c>
      <c r="AX9" s="16" t="str">
        <f t="shared" si="5"/>
        <v/>
      </c>
      <c r="AY9" s="23" t="s">
        <v>18</v>
      </c>
      <c r="AZ9" s="31"/>
      <c r="BA9" s="124"/>
      <c r="BB9" s="44" t="str">
        <f t="shared" si="18"/>
        <v/>
      </c>
      <c r="BC9" s="19" t="str">
        <f t="shared" si="6"/>
        <v/>
      </c>
      <c r="BD9" s="19" t="str">
        <f t="shared" si="6"/>
        <v/>
      </c>
      <c r="BE9" s="19" t="str">
        <f t="shared" si="6"/>
        <v/>
      </c>
      <c r="BF9" s="19" t="str">
        <f t="shared" si="6"/>
        <v/>
      </c>
      <c r="BG9" s="24" t="s">
        <v>18</v>
      </c>
      <c r="BH9" s="45"/>
      <c r="BI9" s="133"/>
      <c r="BJ9" s="30" t="str">
        <f t="shared" si="19"/>
        <v/>
      </c>
      <c r="BK9" s="16" t="str">
        <f t="shared" si="7"/>
        <v/>
      </c>
      <c r="BL9" s="16" t="str">
        <f t="shared" si="7"/>
        <v/>
      </c>
      <c r="BM9" s="16" t="str">
        <f t="shared" si="7"/>
        <v/>
      </c>
      <c r="BN9" s="16" t="str">
        <f t="shared" si="7"/>
        <v/>
      </c>
      <c r="BO9" s="23" t="s">
        <v>18</v>
      </c>
      <c r="BP9" s="31"/>
      <c r="BQ9" s="124"/>
      <c r="BR9" s="44" t="str">
        <f t="shared" si="20"/>
        <v/>
      </c>
      <c r="BS9" s="19" t="str">
        <f t="shared" si="8"/>
        <v/>
      </c>
      <c r="BT9" s="19" t="str">
        <f t="shared" si="8"/>
        <v/>
      </c>
      <c r="BU9" s="19" t="str">
        <f t="shared" si="8"/>
        <v/>
      </c>
      <c r="BV9" s="19" t="str">
        <f t="shared" si="8"/>
        <v/>
      </c>
      <c r="BW9" s="24" t="s">
        <v>18</v>
      </c>
      <c r="BX9" s="45"/>
      <c r="BY9" s="133"/>
      <c r="BZ9" s="30" t="str">
        <f t="shared" si="21"/>
        <v/>
      </c>
      <c r="CA9" s="16" t="str">
        <f t="shared" si="9"/>
        <v/>
      </c>
      <c r="CB9" s="16" t="str">
        <f t="shared" si="9"/>
        <v/>
      </c>
      <c r="CC9" s="16" t="str">
        <f t="shared" si="9"/>
        <v/>
      </c>
      <c r="CD9" s="16" t="str">
        <f t="shared" si="9"/>
        <v/>
      </c>
      <c r="CE9" s="23" t="s">
        <v>18</v>
      </c>
      <c r="CF9" s="31"/>
      <c r="CG9" s="124"/>
      <c r="CH9" s="44" t="str">
        <f t="shared" si="22"/>
        <v/>
      </c>
      <c r="CI9" s="19" t="str">
        <f t="shared" si="10"/>
        <v/>
      </c>
      <c r="CJ9" s="19" t="str">
        <f t="shared" si="10"/>
        <v/>
      </c>
      <c r="CK9" s="19" t="str">
        <f t="shared" si="10"/>
        <v/>
      </c>
      <c r="CL9" s="19" t="str">
        <f t="shared" si="10"/>
        <v/>
      </c>
      <c r="CM9" s="24" t="s">
        <v>18</v>
      </c>
      <c r="CN9" s="45"/>
      <c r="CO9" s="133"/>
      <c r="CP9" s="30" t="str">
        <f t="shared" si="23"/>
        <v/>
      </c>
      <c r="CQ9" s="16" t="str">
        <f t="shared" si="11"/>
        <v/>
      </c>
      <c r="CR9" s="16" t="str">
        <f t="shared" si="11"/>
        <v/>
      </c>
      <c r="CS9" s="16" t="str">
        <f t="shared" si="11"/>
        <v/>
      </c>
      <c r="CT9" s="16" t="str">
        <f t="shared" si="11"/>
        <v/>
      </c>
      <c r="CU9" s="23" t="s">
        <v>18</v>
      </c>
      <c r="CV9" s="31"/>
      <c r="CW9" s="124"/>
      <c r="CX9" s="44" t="str">
        <f t="shared" si="24"/>
        <v/>
      </c>
      <c r="CY9" s="19" t="str">
        <f t="shared" si="12"/>
        <v/>
      </c>
      <c r="CZ9" s="19" t="str">
        <f t="shared" si="12"/>
        <v/>
      </c>
      <c r="DA9" s="19" t="str">
        <f t="shared" si="12"/>
        <v/>
      </c>
      <c r="DB9" s="19" t="str">
        <f t="shared" si="12"/>
        <v/>
      </c>
      <c r="DC9" s="24" t="s">
        <v>18</v>
      </c>
      <c r="DD9" s="45"/>
      <c r="DE9" s="133"/>
    </row>
    <row r="10" spans="1:109" x14ac:dyDescent="0.25">
      <c r="A10" s="91"/>
      <c r="B10" s="88"/>
      <c r="C10" s="109" t="str">
        <f t="shared" ca="1" si="0"/>
        <v/>
      </c>
      <c r="D10" s="102" t="s">
        <v>15</v>
      </c>
      <c r="E10" s="140"/>
      <c r="F10" s="44"/>
      <c r="G10" s="19"/>
      <c r="H10" s="19"/>
      <c r="I10" s="19"/>
      <c r="J10" s="19"/>
      <c r="K10" s="24" t="s">
        <v>18</v>
      </c>
      <c r="L10" s="77"/>
      <c r="M10" s="132"/>
      <c r="N10" s="30" t="str">
        <f t="shared" si="13"/>
        <v/>
      </c>
      <c r="O10" s="16" t="str">
        <f t="shared" si="1"/>
        <v/>
      </c>
      <c r="P10" s="16" t="str">
        <f t="shared" si="1"/>
        <v/>
      </c>
      <c r="Q10" s="16" t="str">
        <f t="shared" si="1"/>
        <v/>
      </c>
      <c r="R10" s="16" t="str">
        <f t="shared" si="1"/>
        <v/>
      </c>
      <c r="S10" s="23" t="s">
        <v>18</v>
      </c>
      <c r="T10" s="31"/>
      <c r="U10" s="123"/>
      <c r="V10" s="44" t="str">
        <f t="shared" si="14"/>
        <v/>
      </c>
      <c r="W10" s="19" t="str">
        <f t="shared" si="2"/>
        <v/>
      </c>
      <c r="X10" s="19" t="str">
        <f t="shared" si="2"/>
        <v/>
      </c>
      <c r="Y10" s="19" t="str">
        <f t="shared" si="2"/>
        <v/>
      </c>
      <c r="Z10" s="19" t="str">
        <f t="shared" si="2"/>
        <v/>
      </c>
      <c r="AA10" s="24" t="s">
        <v>18</v>
      </c>
      <c r="AB10" s="45"/>
      <c r="AC10" s="132"/>
      <c r="AD10" s="30" t="str">
        <f t="shared" si="15"/>
        <v/>
      </c>
      <c r="AE10" s="16" t="str">
        <f t="shared" si="3"/>
        <v/>
      </c>
      <c r="AF10" s="16" t="str">
        <f t="shared" si="3"/>
        <v/>
      </c>
      <c r="AG10" s="16" t="str">
        <f t="shared" si="3"/>
        <v/>
      </c>
      <c r="AH10" s="16" t="str">
        <f t="shared" si="3"/>
        <v/>
      </c>
      <c r="AI10" s="23" t="s">
        <v>18</v>
      </c>
      <c r="AJ10" s="31"/>
      <c r="AK10" s="123"/>
      <c r="AL10" s="44" t="str">
        <f t="shared" si="16"/>
        <v/>
      </c>
      <c r="AM10" s="19" t="str">
        <f t="shared" si="4"/>
        <v/>
      </c>
      <c r="AN10" s="19" t="str">
        <f t="shared" si="4"/>
        <v/>
      </c>
      <c r="AO10" s="19" t="str">
        <f t="shared" si="4"/>
        <v/>
      </c>
      <c r="AP10" s="19" t="str">
        <f t="shared" si="4"/>
        <v/>
      </c>
      <c r="AQ10" s="24" t="s">
        <v>18</v>
      </c>
      <c r="AR10" s="45"/>
      <c r="AS10" s="132"/>
      <c r="AT10" s="30" t="str">
        <f t="shared" si="17"/>
        <v/>
      </c>
      <c r="AU10" s="16" t="str">
        <f t="shared" si="5"/>
        <v/>
      </c>
      <c r="AV10" s="16" t="str">
        <f t="shared" si="5"/>
        <v/>
      </c>
      <c r="AW10" s="16" t="str">
        <f t="shared" si="5"/>
        <v/>
      </c>
      <c r="AX10" s="16" t="str">
        <f t="shared" si="5"/>
        <v/>
      </c>
      <c r="AY10" s="23" t="s">
        <v>18</v>
      </c>
      <c r="AZ10" s="31"/>
      <c r="BA10" s="123"/>
      <c r="BB10" s="44" t="str">
        <f t="shared" si="18"/>
        <v/>
      </c>
      <c r="BC10" s="19" t="str">
        <f t="shared" si="6"/>
        <v/>
      </c>
      <c r="BD10" s="19" t="str">
        <f t="shared" si="6"/>
        <v/>
      </c>
      <c r="BE10" s="19" t="str">
        <f t="shared" si="6"/>
        <v/>
      </c>
      <c r="BF10" s="19" t="str">
        <f t="shared" si="6"/>
        <v/>
      </c>
      <c r="BG10" s="24" t="s">
        <v>18</v>
      </c>
      <c r="BH10" s="45"/>
      <c r="BI10" s="132"/>
      <c r="BJ10" s="30" t="str">
        <f t="shared" si="19"/>
        <v/>
      </c>
      <c r="BK10" s="16" t="str">
        <f t="shared" si="7"/>
        <v/>
      </c>
      <c r="BL10" s="16" t="str">
        <f t="shared" si="7"/>
        <v/>
      </c>
      <c r="BM10" s="16" t="str">
        <f t="shared" si="7"/>
        <v/>
      </c>
      <c r="BN10" s="16" t="str">
        <f t="shared" si="7"/>
        <v/>
      </c>
      <c r="BO10" s="23" t="s">
        <v>18</v>
      </c>
      <c r="BP10" s="31"/>
      <c r="BQ10" s="123"/>
      <c r="BR10" s="44" t="str">
        <f t="shared" si="20"/>
        <v/>
      </c>
      <c r="BS10" s="19" t="str">
        <f t="shared" si="8"/>
        <v/>
      </c>
      <c r="BT10" s="19" t="str">
        <f t="shared" si="8"/>
        <v/>
      </c>
      <c r="BU10" s="19" t="str">
        <f t="shared" si="8"/>
        <v/>
      </c>
      <c r="BV10" s="19" t="str">
        <f t="shared" si="8"/>
        <v/>
      </c>
      <c r="BW10" s="24" t="s">
        <v>18</v>
      </c>
      <c r="BX10" s="45"/>
      <c r="BY10" s="132"/>
      <c r="BZ10" s="30" t="str">
        <f t="shared" si="21"/>
        <v/>
      </c>
      <c r="CA10" s="16" t="str">
        <f t="shared" si="9"/>
        <v/>
      </c>
      <c r="CB10" s="16" t="str">
        <f t="shared" si="9"/>
        <v/>
      </c>
      <c r="CC10" s="16" t="str">
        <f t="shared" si="9"/>
        <v/>
      </c>
      <c r="CD10" s="16" t="str">
        <f t="shared" si="9"/>
        <v/>
      </c>
      <c r="CE10" s="23" t="s">
        <v>18</v>
      </c>
      <c r="CF10" s="31"/>
      <c r="CG10" s="123"/>
      <c r="CH10" s="44" t="str">
        <f t="shared" si="22"/>
        <v/>
      </c>
      <c r="CI10" s="19" t="str">
        <f t="shared" si="10"/>
        <v/>
      </c>
      <c r="CJ10" s="19" t="str">
        <f t="shared" si="10"/>
        <v/>
      </c>
      <c r="CK10" s="19" t="str">
        <f t="shared" si="10"/>
        <v/>
      </c>
      <c r="CL10" s="19" t="str">
        <f t="shared" si="10"/>
        <v/>
      </c>
      <c r="CM10" s="24" t="s">
        <v>18</v>
      </c>
      <c r="CN10" s="45"/>
      <c r="CO10" s="132"/>
      <c r="CP10" s="30" t="str">
        <f t="shared" si="23"/>
        <v/>
      </c>
      <c r="CQ10" s="16" t="str">
        <f t="shared" si="11"/>
        <v/>
      </c>
      <c r="CR10" s="16" t="str">
        <f t="shared" si="11"/>
        <v/>
      </c>
      <c r="CS10" s="16" t="str">
        <f t="shared" si="11"/>
        <v/>
      </c>
      <c r="CT10" s="16" t="str">
        <f t="shared" si="11"/>
        <v/>
      </c>
      <c r="CU10" s="23" t="s">
        <v>18</v>
      </c>
      <c r="CV10" s="31"/>
      <c r="CW10" s="123"/>
      <c r="CX10" s="44" t="str">
        <f t="shared" si="24"/>
        <v/>
      </c>
      <c r="CY10" s="19" t="str">
        <f t="shared" si="12"/>
        <v/>
      </c>
      <c r="CZ10" s="19" t="str">
        <f t="shared" si="12"/>
        <v/>
      </c>
      <c r="DA10" s="19" t="str">
        <f t="shared" si="12"/>
        <v/>
      </c>
      <c r="DB10" s="19" t="str">
        <f t="shared" si="12"/>
        <v/>
      </c>
      <c r="DC10" s="24" t="s">
        <v>18</v>
      </c>
      <c r="DD10" s="45"/>
      <c r="DE10" s="132"/>
    </row>
    <row r="11" spans="1:109" x14ac:dyDescent="0.25">
      <c r="A11" s="91"/>
      <c r="B11" s="88"/>
      <c r="C11" s="109" t="str">
        <f t="shared" ca="1" si="0"/>
        <v/>
      </c>
      <c r="D11" s="102" t="s">
        <v>15</v>
      </c>
      <c r="E11" s="140"/>
      <c r="F11" s="44"/>
      <c r="G11" s="19"/>
      <c r="H11" s="19"/>
      <c r="I11" s="19"/>
      <c r="J11" s="19"/>
      <c r="K11" s="24" t="s">
        <v>18</v>
      </c>
      <c r="L11" s="45"/>
      <c r="M11" s="132"/>
      <c r="N11" s="30" t="str">
        <f t="shared" si="13"/>
        <v/>
      </c>
      <c r="O11" s="16" t="str">
        <f t="shared" si="1"/>
        <v/>
      </c>
      <c r="P11" s="16" t="str">
        <f t="shared" si="1"/>
        <v/>
      </c>
      <c r="Q11" s="16" t="str">
        <f t="shared" si="1"/>
        <v/>
      </c>
      <c r="R11" s="16" t="str">
        <f t="shared" si="1"/>
        <v/>
      </c>
      <c r="S11" s="23" t="s">
        <v>18</v>
      </c>
      <c r="T11" s="31"/>
      <c r="U11" s="123"/>
      <c r="V11" s="44" t="str">
        <f t="shared" si="14"/>
        <v/>
      </c>
      <c r="W11" s="19" t="str">
        <f t="shared" si="2"/>
        <v/>
      </c>
      <c r="X11" s="19" t="str">
        <f t="shared" si="2"/>
        <v/>
      </c>
      <c r="Y11" s="19" t="str">
        <f t="shared" si="2"/>
        <v/>
      </c>
      <c r="Z11" s="19" t="str">
        <f t="shared" si="2"/>
        <v/>
      </c>
      <c r="AA11" s="24" t="s">
        <v>18</v>
      </c>
      <c r="AB11" s="45"/>
      <c r="AC11" s="132"/>
      <c r="AD11" s="30" t="str">
        <f t="shared" si="15"/>
        <v/>
      </c>
      <c r="AE11" s="16" t="str">
        <f t="shared" si="3"/>
        <v/>
      </c>
      <c r="AF11" s="16" t="str">
        <f t="shared" si="3"/>
        <v/>
      </c>
      <c r="AG11" s="16" t="str">
        <f t="shared" si="3"/>
        <v/>
      </c>
      <c r="AH11" s="16" t="str">
        <f t="shared" si="3"/>
        <v/>
      </c>
      <c r="AI11" s="23" t="s">
        <v>18</v>
      </c>
      <c r="AJ11" s="31"/>
      <c r="AK11" s="123"/>
      <c r="AL11" s="44" t="str">
        <f t="shared" si="16"/>
        <v/>
      </c>
      <c r="AM11" s="19" t="str">
        <f t="shared" si="4"/>
        <v/>
      </c>
      <c r="AN11" s="19" t="str">
        <f t="shared" si="4"/>
        <v/>
      </c>
      <c r="AO11" s="19" t="str">
        <f t="shared" si="4"/>
        <v/>
      </c>
      <c r="AP11" s="19" t="str">
        <f t="shared" si="4"/>
        <v/>
      </c>
      <c r="AQ11" s="24" t="s">
        <v>18</v>
      </c>
      <c r="AR11" s="45"/>
      <c r="AS11" s="132"/>
      <c r="AT11" s="30" t="str">
        <f t="shared" si="17"/>
        <v/>
      </c>
      <c r="AU11" s="16" t="str">
        <f t="shared" si="5"/>
        <v/>
      </c>
      <c r="AV11" s="16" t="str">
        <f t="shared" si="5"/>
        <v/>
      </c>
      <c r="AW11" s="16" t="str">
        <f t="shared" si="5"/>
        <v/>
      </c>
      <c r="AX11" s="16" t="str">
        <f t="shared" si="5"/>
        <v/>
      </c>
      <c r="AY11" s="23" t="s">
        <v>18</v>
      </c>
      <c r="AZ11" s="31"/>
      <c r="BA11" s="123"/>
      <c r="BB11" s="44" t="str">
        <f t="shared" si="18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24" t="s">
        <v>18</v>
      </c>
      <c r="BH11" s="45"/>
      <c r="BI11" s="132"/>
      <c r="BJ11" s="30" t="str">
        <f t="shared" si="19"/>
        <v/>
      </c>
      <c r="BK11" s="16" t="str">
        <f t="shared" si="7"/>
        <v/>
      </c>
      <c r="BL11" s="16" t="str">
        <f t="shared" si="7"/>
        <v/>
      </c>
      <c r="BM11" s="16" t="str">
        <f t="shared" si="7"/>
        <v/>
      </c>
      <c r="BN11" s="16" t="str">
        <f t="shared" si="7"/>
        <v/>
      </c>
      <c r="BO11" s="23" t="s">
        <v>18</v>
      </c>
      <c r="BP11" s="31"/>
      <c r="BQ11" s="123"/>
      <c r="BR11" s="44" t="str">
        <f t="shared" si="20"/>
        <v/>
      </c>
      <c r="BS11" s="19" t="str">
        <f t="shared" si="8"/>
        <v/>
      </c>
      <c r="BT11" s="19" t="str">
        <f t="shared" si="8"/>
        <v/>
      </c>
      <c r="BU11" s="19" t="str">
        <f t="shared" si="8"/>
        <v/>
      </c>
      <c r="BV11" s="19" t="str">
        <f t="shared" si="8"/>
        <v/>
      </c>
      <c r="BW11" s="24" t="s">
        <v>18</v>
      </c>
      <c r="BX11" s="45"/>
      <c r="BY11" s="132"/>
      <c r="BZ11" s="30" t="str">
        <f t="shared" si="21"/>
        <v/>
      </c>
      <c r="CA11" s="16" t="str">
        <f t="shared" si="9"/>
        <v/>
      </c>
      <c r="CB11" s="16" t="str">
        <f t="shared" si="9"/>
        <v/>
      </c>
      <c r="CC11" s="16" t="str">
        <f t="shared" si="9"/>
        <v/>
      </c>
      <c r="CD11" s="16" t="str">
        <f t="shared" si="9"/>
        <v/>
      </c>
      <c r="CE11" s="23" t="s">
        <v>18</v>
      </c>
      <c r="CF11" s="31"/>
      <c r="CG11" s="123"/>
      <c r="CH11" s="44" t="str">
        <f t="shared" si="22"/>
        <v/>
      </c>
      <c r="CI11" s="19" t="str">
        <f t="shared" si="10"/>
        <v/>
      </c>
      <c r="CJ11" s="19" t="str">
        <f t="shared" si="10"/>
        <v/>
      </c>
      <c r="CK11" s="19" t="str">
        <f t="shared" si="10"/>
        <v/>
      </c>
      <c r="CL11" s="19" t="str">
        <f t="shared" si="10"/>
        <v/>
      </c>
      <c r="CM11" s="24" t="s">
        <v>18</v>
      </c>
      <c r="CN11" s="45"/>
      <c r="CO11" s="132"/>
      <c r="CP11" s="30" t="str">
        <f t="shared" si="23"/>
        <v/>
      </c>
      <c r="CQ11" s="16" t="str">
        <f t="shared" si="11"/>
        <v/>
      </c>
      <c r="CR11" s="16" t="str">
        <f t="shared" si="11"/>
        <v/>
      </c>
      <c r="CS11" s="16" t="str">
        <f t="shared" si="11"/>
        <v/>
      </c>
      <c r="CT11" s="16" t="str">
        <f t="shared" si="11"/>
        <v/>
      </c>
      <c r="CU11" s="23" t="s">
        <v>18</v>
      </c>
      <c r="CV11" s="31"/>
      <c r="CW11" s="123"/>
      <c r="CX11" s="44" t="str">
        <f t="shared" si="24"/>
        <v/>
      </c>
      <c r="CY11" s="19" t="str">
        <f t="shared" si="12"/>
        <v/>
      </c>
      <c r="CZ11" s="19" t="str">
        <f t="shared" si="12"/>
        <v/>
      </c>
      <c r="DA11" s="19" t="str">
        <f t="shared" si="12"/>
        <v/>
      </c>
      <c r="DB11" s="19" t="str">
        <f t="shared" si="12"/>
        <v/>
      </c>
      <c r="DC11" s="24" t="s">
        <v>18</v>
      </c>
      <c r="DD11" s="45"/>
      <c r="DE11" s="132"/>
    </row>
    <row r="12" spans="1:109" x14ac:dyDescent="0.25">
      <c r="A12" s="92"/>
      <c r="B12" s="88"/>
      <c r="C12" s="109" t="str">
        <f t="shared" ca="1" si="0"/>
        <v/>
      </c>
      <c r="D12" s="102" t="s">
        <v>14</v>
      </c>
      <c r="E12" s="140"/>
      <c r="F12" s="44"/>
      <c r="G12" s="19"/>
      <c r="H12" s="19"/>
      <c r="I12" s="19"/>
      <c r="J12" s="19"/>
      <c r="K12" s="24"/>
      <c r="L12" s="45"/>
      <c r="M12" s="132"/>
      <c r="N12" s="30" t="str">
        <f t="shared" si="13"/>
        <v/>
      </c>
      <c r="O12" s="16" t="str">
        <f t="shared" si="1"/>
        <v/>
      </c>
      <c r="P12" s="16" t="str">
        <f t="shared" si="1"/>
        <v/>
      </c>
      <c r="Q12" s="16" t="str">
        <f t="shared" si="1"/>
        <v/>
      </c>
      <c r="R12" s="16" t="str">
        <f t="shared" si="1"/>
        <v/>
      </c>
      <c r="S12" s="23"/>
      <c r="T12" s="31"/>
      <c r="U12" s="123"/>
      <c r="V12" s="44" t="str">
        <f t="shared" si="14"/>
        <v/>
      </c>
      <c r="W12" s="19" t="str">
        <f t="shared" si="2"/>
        <v/>
      </c>
      <c r="X12" s="19" t="str">
        <f t="shared" si="2"/>
        <v/>
      </c>
      <c r="Y12" s="19" t="str">
        <f t="shared" si="2"/>
        <v/>
      </c>
      <c r="Z12" s="19" t="str">
        <f t="shared" si="2"/>
        <v/>
      </c>
      <c r="AA12" s="24"/>
      <c r="AB12" s="45"/>
      <c r="AC12" s="132"/>
      <c r="AD12" s="30" t="str">
        <f t="shared" si="15"/>
        <v/>
      </c>
      <c r="AE12" s="16" t="str">
        <f t="shared" si="3"/>
        <v/>
      </c>
      <c r="AF12" s="16" t="str">
        <f t="shared" si="3"/>
        <v/>
      </c>
      <c r="AG12" s="16" t="str">
        <f t="shared" si="3"/>
        <v/>
      </c>
      <c r="AH12" s="16" t="str">
        <f t="shared" si="3"/>
        <v/>
      </c>
      <c r="AI12" s="23"/>
      <c r="AJ12" s="31"/>
      <c r="AK12" s="123"/>
      <c r="AL12" s="44" t="str">
        <f t="shared" si="16"/>
        <v/>
      </c>
      <c r="AM12" s="19" t="str">
        <f t="shared" si="4"/>
        <v/>
      </c>
      <c r="AN12" s="19" t="str">
        <f t="shared" si="4"/>
        <v/>
      </c>
      <c r="AO12" s="19" t="str">
        <f t="shared" si="4"/>
        <v/>
      </c>
      <c r="AP12" s="19" t="str">
        <f t="shared" si="4"/>
        <v/>
      </c>
      <c r="AQ12" s="24"/>
      <c r="AR12" s="45"/>
      <c r="AS12" s="132"/>
      <c r="AT12" s="30" t="str">
        <f t="shared" si="17"/>
        <v/>
      </c>
      <c r="AU12" s="16" t="str">
        <f t="shared" si="5"/>
        <v/>
      </c>
      <c r="AV12" s="16" t="str">
        <f t="shared" si="5"/>
        <v/>
      </c>
      <c r="AW12" s="16" t="str">
        <f t="shared" si="5"/>
        <v/>
      </c>
      <c r="AX12" s="16" t="str">
        <f t="shared" si="5"/>
        <v/>
      </c>
      <c r="AY12" s="23"/>
      <c r="AZ12" s="31"/>
      <c r="BA12" s="123"/>
      <c r="BB12" s="44" t="str">
        <f t="shared" si="18"/>
        <v/>
      </c>
      <c r="BC12" s="19" t="str">
        <f t="shared" si="6"/>
        <v/>
      </c>
      <c r="BD12" s="19" t="str">
        <f t="shared" si="6"/>
        <v/>
      </c>
      <c r="BE12" s="19" t="str">
        <f t="shared" si="6"/>
        <v/>
      </c>
      <c r="BF12" s="19" t="str">
        <f t="shared" si="6"/>
        <v/>
      </c>
      <c r="BG12" s="24"/>
      <c r="BH12" s="45"/>
      <c r="BI12" s="132"/>
      <c r="BJ12" s="30" t="str">
        <f t="shared" si="19"/>
        <v/>
      </c>
      <c r="BK12" s="16" t="str">
        <f t="shared" si="7"/>
        <v/>
      </c>
      <c r="BL12" s="16" t="str">
        <f t="shared" si="7"/>
        <v/>
      </c>
      <c r="BM12" s="16" t="str">
        <f t="shared" si="7"/>
        <v/>
      </c>
      <c r="BN12" s="16" t="str">
        <f t="shared" si="7"/>
        <v/>
      </c>
      <c r="BO12" s="23"/>
      <c r="BP12" s="31"/>
      <c r="BQ12" s="123"/>
      <c r="BR12" s="44" t="str">
        <f t="shared" si="20"/>
        <v/>
      </c>
      <c r="BS12" s="19" t="str">
        <f t="shared" si="8"/>
        <v/>
      </c>
      <c r="BT12" s="19" t="str">
        <f t="shared" si="8"/>
        <v/>
      </c>
      <c r="BU12" s="19" t="str">
        <f t="shared" si="8"/>
        <v/>
      </c>
      <c r="BV12" s="19" t="str">
        <f t="shared" si="8"/>
        <v/>
      </c>
      <c r="BW12" s="24"/>
      <c r="BX12" s="45"/>
      <c r="BY12" s="132"/>
      <c r="BZ12" s="30" t="str">
        <f t="shared" si="21"/>
        <v/>
      </c>
      <c r="CA12" s="16" t="str">
        <f t="shared" si="9"/>
        <v/>
      </c>
      <c r="CB12" s="16" t="str">
        <f t="shared" si="9"/>
        <v/>
      </c>
      <c r="CC12" s="16" t="str">
        <f t="shared" si="9"/>
        <v/>
      </c>
      <c r="CD12" s="16" t="str">
        <f t="shared" si="9"/>
        <v/>
      </c>
      <c r="CE12" s="23"/>
      <c r="CF12" s="31"/>
      <c r="CG12" s="123"/>
      <c r="CH12" s="44" t="str">
        <f t="shared" si="22"/>
        <v/>
      </c>
      <c r="CI12" s="19" t="str">
        <f t="shared" si="10"/>
        <v/>
      </c>
      <c r="CJ12" s="19" t="str">
        <f t="shared" si="10"/>
        <v/>
      </c>
      <c r="CK12" s="19" t="str">
        <f t="shared" si="10"/>
        <v/>
      </c>
      <c r="CL12" s="19" t="str">
        <f t="shared" si="10"/>
        <v/>
      </c>
      <c r="CM12" s="24"/>
      <c r="CN12" s="45"/>
      <c r="CO12" s="132"/>
      <c r="CP12" s="30" t="str">
        <f t="shared" si="23"/>
        <v/>
      </c>
      <c r="CQ12" s="16" t="str">
        <f t="shared" si="11"/>
        <v/>
      </c>
      <c r="CR12" s="16" t="str">
        <f t="shared" si="11"/>
        <v/>
      </c>
      <c r="CS12" s="16" t="str">
        <f t="shared" si="11"/>
        <v/>
      </c>
      <c r="CT12" s="16" t="str">
        <f t="shared" si="11"/>
        <v/>
      </c>
      <c r="CU12" s="23"/>
      <c r="CV12" s="31"/>
      <c r="CW12" s="123"/>
      <c r="CX12" s="44" t="str">
        <f t="shared" si="24"/>
        <v/>
      </c>
      <c r="CY12" s="19" t="str">
        <f t="shared" si="12"/>
        <v/>
      </c>
      <c r="CZ12" s="19" t="str">
        <f t="shared" si="12"/>
        <v/>
      </c>
      <c r="DA12" s="19" t="str">
        <f t="shared" si="12"/>
        <v/>
      </c>
      <c r="DB12" s="19" t="str">
        <f t="shared" si="12"/>
        <v/>
      </c>
      <c r="DC12" s="24"/>
      <c r="DD12" s="45"/>
      <c r="DE12" s="132"/>
    </row>
    <row r="13" spans="1:109" x14ac:dyDescent="0.25">
      <c r="A13" s="91"/>
      <c r="B13" s="88"/>
      <c r="C13" s="109" t="str">
        <f t="shared" ca="1" si="0"/>
        <v/>
      </c>
      <c r="D13" s="102" t="s">
        <v>15</v>
      </c>
      <c r="E13" s="140"/>
      <c r="F13" s="75"/>
      <c r="G13" s="19"/>
      <c r="H13" s="19"/>
      <c r="I13" s="19"/>
      <c r="J13" s="76"/>
      <c r="K13" s="24" t="s">
        <v>17</v>
      </c>
      <c r="L13" s="68"/>
      <c r="M13" s="132"/>
      <c r="N13" s="30" t="str">
        <f t="shared" si="13"/>
        <v/>
      </c>
      <c r="O13" s="16" t="str">
        <f t="shared" si="1"/>
        <v/>
      </c>
      <c r="P13" s="16" t="str">
        <f t="shared" si="1"/>
        <v/>
      </c>
      <c r="Q13" s="16" t="str">
        <f t="shared" si="1"/>
        <v/>
      </c>
      <c r="R13" s="16" t="str">
        <f t="shared" si="1"/>
        <v/>
      </c>
      <c r="S13" s="23" t="s">
        <v>17</v>
      </c>
      <c r="T13" s="65"/>
      <c r="U13" s="123"/>
      <c r="V13" s="44" t="str">
        <f t="shared" si="14"/>
        <v/>
      </c>
      <c r="W13" s="19" t="str">
        <f t="shared" si="2"/>
        <v/>
      </c>
      <c r="X13" s="19" t="str">
        <f t="shared" si="2"/>
        <v/>
      </c>
      <c r="Y13" s="19" t="str">
        <f t="shared" si="2"/>
        <v/>
      </c>
      <c r="Z13" s="19" t="str">
        <f t="shared" si="2"/>
        <v/>
      </c>
      <c r="AA13" s="24" t="s">
        <v>17</v>
      </c>
      <c r="AB13" s="68"/>
      <c r="AC13" s="132"/>
      <c r="AD13" s="30" t="str">
        <f t="shared" si="15"/>
        <v/>
      </c>
      <c r="AE13" s="16" t="str">
        <f t="shared" si="3"/>
        <v/>
      </c>
      <c r="AF13" s="16" t="str">
        <f t="shared" si="3"/>
        <v/>
      </c>
      <c r="AG13" s="16" t="str">
        <f t="shared" si="3"/>
        <v/>
      </c>
      <c r="AH13" s="16" t="str">
        <f t="shared" si="3"/>
        <v/>
      </c>
      <c r="AI13" s="23" t="s">
        <v>17</v>
      </c>
      <c r="AJ13" s="65"/>
      <c r="AK13" s="123"/>
      <c r="AL13" s="44" t="str">
        <f t="shared" si="16"/>
        <v/>
      </c>
      <c r="AM13" s="19" t="str">
        <f t="shared" si="4"/>
        <v/>
      </c>
      <c r="AN13" s="19" t="str">
        <f t="shared" si="4"/>
        <v/>
      </c>
      <c r="AO13" s="19" t="str">
        <f t="shared" si="4"/>
        <v/>
      </c>
      <c r="AP13" s="19" t="str">
        <f t="shared" si="4"/>
        <v/>
      </c>
      <c r="AQ13" s="24" t="s">
        <v>17</v>
      </c>
      <c r="AR13" s="68"/>
      <c r="AS13" s="132"/>
      <c r="AT13" s="30" t="str">
        <f t="shared" si="17"/>
        <v/>
      </c>
      <c r="AU13" s="16" t="str">
        <f t="shared" si="5"/>
        <v/>
      </c>
      <c r="AV13" s="16" t="str">
        <f t="shared" si="5"/>
        <v/>
      </c>
      <c r="AW13" s="16" t="str">
        <f t="shared" si="5"/>
        <v/>
      </c>
      <c r="AX13" s="16" t="str">
        <f t="shared" si="5"/>
        <v/>
      </c>
      <c r="AY13" s="23" t="s">
        <v>17</v>
      </c>
      <c r="AZ13" s="65"/>
      <c r="BA13" s="123"/>
      <c r="BB13" s="44" t="str">
        <f t="shared" si="18"/>
        <v/>
      </c>
      <c r="BC13" s="19" t="str">
        <f t="shared" si="6"/>
        <v/>
      </c>
      <c r="BD13" s="19" t="str">
        <f t="shared" si="6"/>
        <v/>
      </c>
      <c r="BE13" s="19" t="str">
        <f t="shared" si="6"/>
        <v/>
      </c>
      <c r="BF13" s="19" t="str">
        <f t="shared" si="6"/>
        <v/>
      </c>
      <c r="BG13" s="24" t="s">
        <v>17</v>
      </c>
      <c r="BH13" s="68"/>
      <c r="BI13" s="132"/>
      <c r="BJ13" s="30" t="str">
        <f t="shared" si="19"/>
        <v/>
      </c>
      <c r="BK13" s="16" t="str">
        <f t="shared" si="7"/>
        <v/>
      </c>
      <c r="BL13" s="16" t="str">
        <f t="shared" si="7"/>
        <v/>
      </c>
      <c r="BM13" s="16" t="str">
        <f t="shared" si="7"/>
        <v/>
      </c>
      <c r="BN13" s="16" t="str">
        <f t="shared" si="7"/>
        <v/>
      </c>
      <c r="BO13" s="23" t="s">
        <v>17</v>
      </c>
      <c r="BP13" s="65"/>
      <c r="BQ13" s="123"/>
      <c r="BR13" s="44" t="str">
        <f t="shared" si="20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24" t="s">
        <v>17</v>
      </c>
      <c r="BX13" s="68"/>
      <c r="BY13" s="132"/>
      <c r="BZ13" s="30" t="str">
        <f t="shared" si="21"/>
        <v/>
      </c>
      <c r="CA13" s="16" t="str">
        <f t="shared" si="9"/>
        <v/>
      </c>
      <c r="CB13" s="16" t="str">
        <f t="shared" si="9"/>
        <v/>
      </c>
      <c r="CC13" s="16" t="str">
        <f t="shared" si="9"/>
        <v/>
      </c>
      <c r="CD13" s="16" t="str">
        <f t="shared" si="9"/>
        <v/>
      </c>
      <c r="CE13" s="23" t="s">
        <v>17</v>
      </c>
      <c r="CF13" s="65"/>
      <c r="CG13" s="123"/>
      <c r="CH13" s="44" t="str">
        <f t="shared" si="22"/>
        <v/>
      </c>
      <c r="CI13" s="19" t="str">
        <f t="shared" si="10"/>
        <v/>
      </c>
      <c r="CJ13" s="19" t="str">
        <f t="shared" si="10"/>
        <v/>
      </c>
      <c r="CK13" s="19" t="str">
        <f t="shared" si="10"/>
        <v/>
      </c>
      <c r="CL13" s="19" t="str">
        <f t="shared" si="10"/>
        <v/>
      </c>
      <c r="CM13" s="24" t="s">
        <v>17</v>
      </c>
      <c r="CN13" s="68"/>
      <c r="CO13" s="132"/>
      <c r="CP13" s="30" t="str">
        <f t="shared" si="23"/>
        <v/>
      </c>
      <c r="CQ13" s="16" t="str">
        <f t="shared" si="11"/>
        <v/>
      </c>
      <c r="CR13" s="16" t="str">
        <f t="shared" si="11"/>
        <v/>
      </c>
      <c r="CS13" s="16" t="str">
        <f t="shared" si="11"/>
        <v/>
      </c>
      <c r="CT13" s="16" t="str">
        <f t="shared" si="11"/>
        <v/>
      </c>
      <c r="CU13" s="23" t="s">
        <v>17</v>
      </c>
      <c r="CV13" s="65"/>
      <c r="CW13" s="123"/>
      <c r="CX13" s="44" t="str">
        <f t="shared" si="24"/>
        <v/>
      </c>
      <c r="CY13" s="19" t="str">
        <f t="shared" si="12"/>
        <v/>
      </c>
      <c r="CZ13" s="19" t="str">
        <f t="shared" si="12"/>
        <v/>
      </c>
      <c r="DA13" s="19" t="str">
        <f t="shared" si="12"/>
        <v/>
      </c>
      <c r="DB13" s="19" t="str">
        <f t="shared" si="12"/>
        <v/>
      </c>
      <c r="DC13" s="24" t="s">
        <v>17</v>
      </c>
      <c r="DD13" s="68"/>
      <c r="DE13" s="132"/>
    </row>
    <row r="14" spans="1:109" x14ac:dyDescent="0.25">
      <c r="A14" s="91"/>
      <c r="B14" s="88"/>
      <c r="C14" s="109" t="str">
        <f t="shared" ca="1" si="0"/>
        <v/>
      </c>
      <c r="D14" s="102" t="s">
        <v>15</v>
      </c>
      <c r="E14" s="140"/>
      <c r="F14" s="44"/>
      <c r="G14" s="19"/>
      <c r="H14" s="19"/>
      <c r="I14" s="19"/>
      <c r="J14" s="19"/>
      <c r="K14" s="24" t="s">
        <v>17</v>
      </c>
      <c r="L14" s="45"/>
      <c r="M14" s="132"/>
      <c r="N14" s="30" t="str">
        <f t="shared" si="13"/>
        <v/>
      </c>
      <c r="O14" s="16" t="str">
        <f t="shared" si="1"/>
        <v/>
      </c>
      <c r="P14" s="16" t="str">
        <f t="shared" si="1"/>
        <v/>
      </c>
      <c r="Q14" s="16" t="str">
        <f t="shared" si="1"/>
        <v/>
      </c>
      <c r="R14" s="16" t="str">
        <f t="shared" si="1"/>
        <v/>
      </c>
      <c r="S14" s="23" t="s">
        <v>17</v>
      </c>
      <c r="T14" s="31"/>
      <c r="U14" s="123"/>
      <c r="V14" s="44" t="str">
        <f t="shared" si="14"/>
        <v/>
      </c>
      <c r="W14" s="19" t="str">
        <f t="shared" si="2"/>
        <v/>
      </c>
      <c r="X14" s="19" t="str">
        <f t="shared" si="2"/>
        <v/>
      </c>
      <c r="Y14" s="19" t="str">
        <f t="shared" si="2"/>
        <v/>
      </c>
      <c r="Z14" s="19" t="str">
        <f t="shared" si="2"/>
        <v/>
      </c>
      <c r="AA14" s="24" t="s">
        <v>17</v>
      </c>
      <c r="AB14" s="45"/>
      <c r="AC14" s="132"/>
      <c r="AD14" s="30" t="str">
        <f t="shared" si="15"/>
        <v/>
      </c>
      <c r="AE14" s="16" t="str">
        <f t="shared" si="3"/>
        <v/>
      </c>
      <c r="AF14" s="16" t="str">
        <f t="shared" si="3"/>
        <v/>
      </c>
      <c r="AG14" s="16" t="str">
        <f t="shared" si="3"/>
        <v/>
      </c>
      <c r="AH14" s="16" t="str">
        <f t="shared" si="3"/>
        <v/>
      </c>
      <c r="AI14" s="23" t="s">
        <v>17</v>
      </c>
      <c r="AJ14" s="31"/>
      <c r="AK14" s="123"/>
      <c r="AL14" s="44" t="str">
        <f t="shared" si="16"/>
        <v/>
      </c>
      <c r="AM14" s="19" t="str">
        <f t="shared" si="4"/>
        <v/>
      </c>
      <c r="AN14" s="19" t="str">
        <f t="shared" si="4"/>
        <v/>
      </c>
      <c r="AO14" s="19" t="str">
        <f t="shared" si="4"/>
        <v/>
      </c>
      <c r="AP14" s="19" t="str">
        <f t="shared" si="4"/>
        <v/>
      </c>
      <c r="AQ14" s="24" t="s">
        <v>17</v>
      </c>
      <c r="AR14" s="45"/>
      <c r="AS14" s="132"/>
      <c r="AT14" s="30" t="str">
        <f t="shared" si="17"/>
        <v/>
      </c>
      <c r="AU14" s="16" t="str">
        <f t="shared" si="5"/>
        <v/>
      </c>
      <c r="AV14" s="16" t="str">
        <f t="shared" si="5"/>
        <v/>
      </c>
      <c r="AW14" s="16" t="str">
        <f t="shared" si="5"/>
        <v/>
      </c>
      <c r="AX14" s="16" t="str">
        <f t="shared" si="5"/>
        <v/>
      </c>
      <c r="AY14" s="23" t="s">
        <v>17</v>
      </c>
      <c r="AZ14" s="31"/>
      <c r="BA14" s="123"/>
      <c r="BB14" s="44" t="str">
        <f t="shared" si="18"/>
        <v/>
      </c>
      <c r="BC14" s="19" t="str">
        <f t="shared" si="6"/>
        <v/>
      </c>
      <c r="BD14" s="19" t="str">
        <f t="shared" si="6"/>
        <v/>
      </c>
      <c r="BE14" s="19" t="str">
        <f t="shared" si="6"/>
        <v/>
      </c>
      <c r="BF14" s="19" t="str">
        <f t="shared" si="6"/>
        <v/>
      </c>
      <c r="BG14" s="24" t="s">
        <v>17</v>
      </c>
      <c r="BH14" s="45"/>
      <c r="BI14" s="132"/>
      <c r="BJ14" s="30" t="str">
        <f t="shared" si="19"/>
        <v/>
      </c>
      <c r="BK14" s="16" t="str">
        <f t="shared" si="7"/>
        <v/>
      </c>
      <c r="BL14" s="16" t="str">
        <f t="shared" si="7"/>
        <v/>
      </c>
      <c r="BM14" s="16" t="str">
        <f t="shared" si="7"/>
        <v/>
      </c>
      <c r="BN14" s="16" t="str">
        <f t="shared" si="7"/>
        <v/>
      </c>
      <c r="BO14" s="23" t="s">
        <v>17</v>
      </c>
      <c r="BP14" s="31"/>
      <c r="BQ14" s="123"/>
      <c r="BR14" s="44" t="str">
        <f t="shared" si="20"/>
        <v/>
      </c>
      <c r="BS14" s="19" t="str">
        <f t="shared" si="8"/>
        <v/>
      </c>
      <c r="BT14" s="19" t="str">
        <f t="shared" si="8"/>
        <v/>
      </c>
      <c r="BU14" s="19" t="str">
        <f t="shared" si="8"/>
        <v/>
      </c>
      <c r="BV14" s="19" t="str">
        <f t="shared" si="8"/>
        <v/>
      </c>
      <c r="BW14" s="24" t="s">
        <v>17</v>
      </c>
      <c r="BX14" s="45"/>
      <c r="BY14" s="132"/>
      <c r="BZ14" s="30" t="str">
        <f t="shared" si="21"/>
        <v/>
      </c>
      <c r="CA14" s="16" t="str">
        <f t="shared" si="9"/>
        <v/>
      </c>
      <c r="CB14" s="16" t="str">
        <f t="shared" si="9"/>
        <v/>
      </c>
      <c r="CC14" s="16" t="str">
        <f t="shared" si="9"/>
        <v/>
      </c>
      <c r="CD14" s="16" t="str">
        <f t="shared" si="9"/>
        <v/>
      </c>
      <c r="CE14" s="23" t="s">
        <v>17</v>
      </c>
      <c r="CF14" s="31"/>
      <c r="CG14" s="123"/>
      <c r="CH14" s="44" t="str">
        <f t="shared" si="22"/>
        <v/>
      </c>
      <c r="CI14" s="19" t="str">
        <f t="shared" si="10"/>
        <v/>
      </c>
      <c r="CJ14" s="19" t="str">
        <f t="shared" si="10"/>
        <v/>
      </c>
      <c r="CK14" s="19" t="str">
        <f t="shared" si="10"/>
        <v/>
      </c>
      <c r="CL14" s="19" t="str">
        <f t="shared" si="10"/>
        <v/>
      </c>
      <c r="CM14" s="24" t="s">
        <v>17</v>
      </c>
      <c r="CN14" s="45"/>
      <c r="CO14" s="132"/>
      <c r="CP14" s="30" t="str">
        <f t="shared" si="23"/>
        <v/>
      </c>
      <c r="CQ14" s="16" t="str">
        <f t="shared" si="11"/>
        <v/>
      </c>
      <c r="CR14" s="16" t="str">
        <f t="shared" si="11"/>
        <v/>
      </c>
      <c r="CS14" s="16" t="str">
        <f t="shared" si="11"/>
        <v/>
      </c>
      <c r="CT14" s="16" t="str">
        <f t="shared" si="11"/>
        <v/>
      </c>
      <c r="CU14" s="23" t="s">
        <v>17</v>
      </c>
      <c r="CV14" s="31"/>
      <c r="CW14" s="123"/>
      <c r="CX14" s="44" t="str">
        <f t="shared" si="24"/>
        <v/>
      </c>
      <c r="CY14" s="19" t="str">
        <f t="shared" si="12"/>
        <v/>
      </c>
      <c r="CZ14" s="19" t="str">
        <f t="shared" si="12"/>
        <v/>
      </c>
      <c r="DA14" s="19" t="str">
        <f t="shared" si="12"/>
        <v/>
      </c>
      <c r="DB14" s="19" t="str">
        <f t="shared" si="12"/>
        <v/>
      </c>
      <c r="DC14" s="24" t="s">
        <v>17</v>
      </c>
      <c r="DD14" s="45"/>
      <c r="DE14" s="132"/>
    </row>
    <row r="15" spans="1:109" x14ac:dyDescent="0.25">
      <c r="A15" s="104"/>
      <c r="B15" s="113"/>
      <c r="C15" s="109" t="str">
        <f t="shared" ca="1" si="0"/>
        <v/>
      </c>
      <c r="D15" s="102" t="s">
        <v>14</v>
      </c>
      <c r="E15" s="140"/>
      <c r="F15" s="46"/>
      <c r="G15" s="20"/>
      <c r="H15" s="20"/>
      <c r="I15" s="20"/>
      <c r="J15" s="20"/>
      <c r="K15" s="24" t="s">
        <v>17</v>
      </c>
      <c r="L15" s="77"/>
      <c r="M15" s="132"/>
      <c r="N15" s="30" t="str">
        <f t="shared" si="13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23" t="s">
        <v>17</v>
      </c>
      <c r="T15" s="64"/>
      <c r="U15" s="123"/>
      <c r="V15" s="44" t="str">
        <f t="shared" si="14"/>
        <v/>
      </c>
      <c r="W15" s="20" t="str">
        <f t="shared" si="2"/>
        <v/>
      </c>
      <c r="X15" s="20" t="str">
        <f t="shared" si="2"/>
        <v/>
      </c>
      <c r="Y15" s="20" t="str">
        <f t="shared" si="2"/>
        <v/>
      </c>
      <c r="Z15" s="20" t="str">
        <f t="shared" si="2"/>
        <v/>
      </c>
      <c r="AA15" s="24" t="s">
        <v>17</v>
      </c>
      <c r="AB15" s="67"/>
      <c r="AC15" s="132"/>
      <c r="AD15" s="30" t="str">
        <f t="shared" si="15"/>
        <v/>
      </c>
      <c r="AE15" s="17" t="str">
        <f t="shared" si="3"/>
        <v/>
      </c>
      <c r="AF15" s="17" t="str">
        <f t="shared" si="3"/>
        <v/>
      </c>
      <c r="AG15" s="17" t="str">
        <f t="shared" si="3"/>
        <v/>
      </c>
      <c r="AH15" s="17" t="str">
        <f t="shared" si="3"/>
        <v/>
      </c>
      <c r="AI15" s="23" t="s">
        <v>17</v>
      </c>
      <c r="AJ15" s="64"/>
      <c r="AK15" s="123"/>
      <c r="AL15" s="44" t="str">
        <f t="shared" si="16"/>
        <v/>
      </c>
      <c r="AM15" s="20" t="str">
        <f t="shared" si="4"/>
        <v/>
      </c>
      <c r="AN15" s="20" t="str">
        <f t="shared" si="4"/>
        <v/>
      </c>
      <c r="AO15" s="20" t="str">
        <f t="shared" si="4"/>
        <v/>
      </c>
      <c r="AP15" s="20" t="str">
        <f t="shared" si="4"/>
        <v/>
      </c>
      <c r="AQ15" s="24" t="s">
        <v>17</v>
      </c>
      <c r="AR15" s="67"/>
      <c r="AS15" s="132"/>
      <c r="AT15" s="30" t="str">
        <f t="shared" si="17"/>
        <v/>
      </c>
      <c r="AU15" s="17" t="str">
        <f t="shared" si="5"/>
        <v/>
      </c>
      <c r="AV15" s="17" t="str">
        <f t="shared" si="5"/>
        <v/>
      </c>
      <c r="AW15" s="17" t="str">
        <f t="shared" si="5"/>
        <v/>
      </c>
      <c r="AX15" s="17" t="str">
        <f t="shared" si="5"/>
        <v/>
      </c>
      <c r="AY15" s="23" t="s">
        <v>17</v>
      </c>
      <c r="AZ15" s="64"/>
      <c r="BA15" s="123"/>
      <c r="BB15" s="44" t="str">
        <f t="shared" si="18"/>
        <v/>
      </c>
      <c r="BC15" s="20" t="str">
        <f t="shared" si="6"/>
        <v/>
      </c>
      <c r="BD15" s="20" t="str">
        <f t="shared" si="6"/>
        <v/>
      </c>
      <c r="BE15" s="20" t="str">
        <f t="shared" si="6"/>
        <v/>
      </c>
      <c r="BF15" s="20" t="str">
        <f t="shared" si="6"/>
        <v/>
      </c>
      <c r="BG15" s="24" t="s">
        <v>17</v>
      </c>
      <c r="BH15" s="67"/>
      <c r="BI15" s="132"/>
      <c r="BJ15" s="30" t="str">
        <f t="shared" si="19"/>
        <v/>
      </c>
      <c r="BK15" s="17" t="str">
        <f t="shared" si="7"/>
        <v/>
      </c>
      <c r="BL15" s="17" t="str">
        <f t="shared" si="7"/>
        <v/>
      </c>
      <c r="BM15" s="17" t="str">
        <f t="shared" si="7"/>
        <v/>
      </c>
      <c r="BN15" s="17" t="str">
        <f t="shared" si="7"/>
        <v/>
      </c>
      <c r="BO15" s="23" t="s">
        <v>17</v>
      </c>
      <c r="BP15" s="64"/>
      <c r="BQ15" s="123"/>
      <c r="BR15" s="44" t="str">
        <f t="shared" si="20"/>
        <v/>
      </c>
      <c r="BS15" s="20" t="str">
        <f t="shared" si="8"/>
        <v/>
      </c>
      <c r="BT15" s="20" t="str">
        <f t="shared" si="8"/>
        <v/>
      </c>
      <c r="BU15" s="20" t="str">
        <f t="shared" si="8"/>
        <v/>
      </c>
      <c r="BV15" s="20" t="str">
        <f t="shared" si="8"/>
        <v/>
      </c>
      <c r="BW15" s="24" t="s">
        <v>17</v>
      </c>
      <c r="BX15" s="67"/>
      <c r="BY15" s="132"/>
      <c r="BZ15" s="30" t="str">
        <f t="shared" si="21"/>
        <v/>
      </c>
      <c r="CA15" s="17" t="str">
        <f t="shared" si="9"/>
        <v/>
      </c>
      <c r="CB15" s="17" t="str">
        <f t="shared" si="9"/>
        <v/>
      </c>
      <c r="CC15" s="17" t="str">
        <f t="shared" si="9"/>
        <v/>
      </c>
      <c r="CD15" s="17" t="str">
        <f t="shared" si="9"/>
        <v/>
      </c>
      <c r="CE15" s="23" t="s">
        <v>17</v>
      </c>
      <c r="CF15" s="64"/>
      <c r="CG15" s="123"/>
      <c r="CH15" s="44" t="str">
        <f t="shared" si="22"/>
        <v/>
      </c>
      <c r="CI15" s="20" t="str">
        <f t="shared" si="10"/>
        <v/>
      </c>
      <c r="CJ15" s="20" t="str">
        <f t="shared" si="10"/>
        <v/>
      </c>
      <c r="CK15" s="20" t="str">
        <f t="shared" si="10"/>
        <v/>
      </c>
      <c r="CL15" s="20" t="str">
        <f t="shared" si="10"/>
        <v/>
      </c>
      <c r="CM15" s="24" t="s">
        <v>17</v>
      </c>
      <c r="CN15" s="67"/>
      <c r="CO15" s="132"/>
      <c r="CP15" s="30" t="str">
        <f t="shared" si="23"/>
        <v/>
      </c>
      <c r="CQ15" s="17" t="str">
        <f t="shared" si="11"/>
        <v/>
      </c>
      <c r="CR15" s="17" t="str">
        <f t="shared" si="11"/>
        <v/>
      </c>
      <c r="CS15" s="17" t="str">
        <f t="shared" si="11"/>
        <v/>
      </c>
      <c r="CT15" s="17" t="str">
        <f t="shared" si="11"/>
        <v/>
      </c>
      <c r="CU15" s="23" t="s">
        <v>17</v>
      </c>
      <c r="CV15" s="64"/>
      <c r="CW15" s="123"/>
      <c r="CX15" s="44" t="str">
        <f t="shared" si="24"/>
        <v/>
      </c>
      <c r="CY15" s="20" t="str">
        <f t="shared" si="12"/>
        <v/>
      </c>
      <c r="CZ15" s="20" t="str">
        <f t="shared" si="12"/>
        <v/>
      </c>
      <c r="DA15" s="20" t="str">
        <f t="shared" si="12"/>
        <v/>
      </c>
      <c r="DB15" s="20" t="str">
        <f t="shared" si="12"/>
        <v/>
      </c>
      <c r="DC15" s="24" t="s">
        <v>17</v>
      </c>
      <c r="DD15" s="67"/>
      <c r="DE15" s="132"/>
    </row>
    <row r="16" spans="1:109" x14ac:dyDescent="0.25">
      <c r="A16" s="91"/>
      <c r="B16" s="88"/>
      <c r="C16" s="109" t="str">
        <f t="shared" ca="1" si="0"/>
        <v/>
      </c>
      <c r="D16" s="102" t="s">
        <v>15</v>
      </c>
      <c r="E16" s="140"/>
      <c r="F16" s="44"/>
      <c r="G16" s="19"/>
      <c r="H16" s="19"/>
      <c r="I16" s="19"/>
      <c r="J16" s="19"/>
      <c r="K16" s="24" t="s">
        <v>17</v>
      </c>
      <c r="L16" s="45"/>
      <c r="M16" s="132"/>
      <c r="N16" s="30" t="str">
        <f t="shared" si="13"/>
        <v/>
      </c>
      <c r="O16" s="16" t="str">
        <f t="shared" si="1"/>
        <v/>
      </c>
      <c r="P16" s="16" t="str">
        <f t="shared" si="1"/>
        <v/>
      </c>
      <c r="Q16" s="16" t="str">
        <f t="shared" si="1"/>
        <v/>
      </c>
      <c r="R16" s="16" t="str">
        <f t="shared" si="1"/>
        <v/>
      </c>
      <c r="S16" s="23" t="s">
        <v>17</v>
      </c>
      <c r="T16" s="31"/>
      <c r="U16" s="123"/>
      <c r="V16" s="44" t="str">
        <f t="shared" si="14"/>
        <v/>
      </c>
      <c r="W16" s="19" t="str">
        <f t="shared" si="2"/>
        <v/>
      </c>
      <c r="X16" s="19" t="str">
        <f t="shared" si="2"/>
        <v/>
      </c>
      <c r="Y16" s="19" t="str">
        <f t="shared" si="2"/>
        <v/>
      </c>
      <c r="Z16" s="19" t="str">
        <f t="shared" si="2"/>
        <v/>
      </c>
      <c r="AA16" s="24" t="s">
        <v>17</v>
      </c>
      <c r="AB16" s="45"/>
      <c r="AC16" s="132"/>
      <c r="AD16" s="30" t="str">
        <f t="shared" si="15"/>
        <v/>
      </c>
      <c r="AE16" s="16" t="str">
        <f t="shared" si="3"/>
        <v/>
      </c>
      <c r="AF16" s="16" t="str">
        <f t="shared" si="3"/>
        <v/>
      </c>
      <c r="AG16" s="16" t="str">
        <f t="shared" si="3"/>
        <v/>
      </c>
      <c r="AH16" s="16" t="str">
        <f t="shared" si="3"/>
        <v/>
      </c>
      <c r="AI16" s="23" t="s">
        <v>17</v>
      </c>
      <c r="AJ16" s="31"/>
      <c r="AK16" s="123"/>
      <c r="AL16" s="44" t="str">
        <f t="shared" si="16"/>
        <v/>
      </c>
      <c r="AM16" s="19" t="str">
        <f t="shared" si="4"/>
        <v/>
      </c>
      <c r="AN16" s="19" t="str">
        <f t="shared" si="4"/>
        <v/>
      </c>
      <c r="AO16" s="19" t="str">
        <f t="shared" si="4"/>
        <v/>
      </c>
      <c r="AP16" s="19" t="str">
        <f t="shared" si="4"/>
        <v/>
      </c>
      <c r="AQ16" s="24" t="s">
        <v>17</v>
      </c>
      <c r="AR16" s="45"/>
      <c r="AS16" s="132"/>
      <c r="AT16" s="30" t="str">
        <f t="shared" si="17"/>
        <v/>
      </c>
      <c r="AU16" s="16" t="str">
        <f t="shared" si="5"/>
        <v/>
      </c>
      <c r="AV16" s="16" t="str">
        <f t="shared" si="5"/>
        <v/>
      </c>
      <c r="AW16" s="16" t="str">
        <f t="shared" si="5"/>
        <v/>
      </c>
      <c r="AX16" s="16" t="str">
        <f t="shared" si="5"/>
        <v/>
      </c>
      <c r="AY16" s="23" t="s">
        <v>17</v>
      </c>
      <c r="AZ16" s="31"/>
      <c r="BA16" s="123"/>
      <c r="BB16" s="44" t="str">
        <f t="shared" si="18"/>
        <v/>
      </c>
      <c r="BC16" s="19" t="str">
        <f t="shared" si="6"/>
        <v/>
      </c>
      <c r="BD16" s="19" t="str">
        <f t="shared" si="6"/>
        <v/>
      </c>
      <c r="BE16" s="19" t="str">
        <f t="shared" si="6"/>
        <v/>
      </c>
      <c r="BF16" s="19" t="str">
        <f t="shared" si="6"/>
        <v/>
      </c>
      <c r="BG16" s="24" t="s">
        <v>17</v>
      </c>
      <c r="BH16" s="45"/>
      <c r="BI16" s="132"/>
      <c r="BJ16" s="30" t="str">
        <f t="shared" si="19"/>
        <v/>
      </c>
      <c r="BK16" s="16" t="str">
        <f t="shared" si="7"/>
        <v/>
      </c>
      <c r="BL16" s="16" t="str">
        <f t="shared" si="7"/>
        <v/>
      </c>
      <c r="BM16" s="16" t="str">
        <f t="shared" si="7"/>
        <v/>
      </c>
      <c r="BN16" s="16" t="str">
        <f t="shared" si="7"/>
        <v/>
      </c>
      <c r="BO16" s="23" t="s">
        <v>17</v>
      </c>
      <c r="BP16" s="31"/>
      <c r="BQ16" s="123"/>
      <c r="BR16" s="44" t="str">
        <f t="shared" si="20"/>
        <v/>
      </c>
      <c r="BS16" s="19" t="str">
        <f t="shared" si="8"/>
        <v/>
      </c>
      <c r="BT16" s="19" t="str">
        <f t="shared" si="8"/>
        <v/>
      </c>
      <c r="BU16" s="19" t="str">
        <f t="shared" si="8"/>
        <v/>
      </c>
      <c r="BV16" s="19" t="str">
        <f t="shared" si="8"/>
        <v/>
      </c>
      <c r="BW16" s="24" t="s">
        <v>17</v>
      </c>
      <c r="BX16" s="45"/>
      <c r="BY16" s="132"/>
      <c r="BZ16" s="30" t="str">
        <f t="shared" si="21"/>
        <v/>
      </c>
      <c r="CA16" s="16" t="str">
        <f t="shared" si="9"/>
        <v/>
      </c>
      <c r="CB16" s="16" t="str">
        <f t="shared" si="9"/>
        <v/>
      </c>
      <c r="CC16" s="16" t="str">
        <f t="shared" si="9"/>
        <v/>
      </c>
      <c r="CD16" s="16" t="str">
        <f t="shared" si="9"/>
        <v/>
      </c>
      <c r="CE16" s="23" t="s">
        <v>17</v>
      </c>
      <c r="CF16" s="31"/>
      <c r="CG16" s="123"/>
      <c r="CH16" s="44" t="str">
        <f t="shared" si="22"/>
        <v/>
      </c>
      <c r="CI16" s="19" t="str">
        <f t="shared" si="10"/>
        <v/>
      </c>
      <c r="CJ16" s="19" t="str">
        <f t="shared" si="10"/>
        <v/>
      </c>
      <c r="CK16" s="19" t="str">
        <f t="shared" si="10"/>
        <v/>
      </c>
      <c r="CL16" s="19" t="str">
        <f t="shared" si="10"/>
        <v/>
      </c>
      <c r="CM16" s="24" t="s">
        <v>17</v>
      </c>
      <c r="CN16" s="45"/>
      <c r="CO16" s="132"/>
      <c r="CP16" s="30" t="str">
        <f t="shared" si="23"/>
        <v/>
      </c>
      <c r="CQ16" s="16" t="str">
        <f t="shared" si="11"/>
        <v/>
      </c>
      <c r="CR16" s="16" t="str">
        <f t="shared" si="11"/>
        <v/>
      </c>
      <c r="CS16" s="16" t="str">
        <f t="shared" si="11"/>
        <v/>
      </c>
      <c r="CT16" s="16" t="str">
        <f t="shared" si="11"/>
        <v/>
      </c>
      <c r="CU16" s="23" t="s">
        <v>17</v>
      </c>
      <c r="CV16" s="31"/>
      <c r="CW16" s="123"/>
      <c r="CX16" s="44" t="str">
        <f t="shared" si="24"/>
        <v/>
      </c>
      <c r="CY16" s="19" t="str">
        <f t="shared" si="12"/>
        <v/>
      </c>
      <c r="CZ16" s="19" t="str">
        <f t="shared" si="12"/>
        <v/>
      </c>
      <c r="DA16" s="19" t="str">
        <f t="shared" si="12"/>
        <v/>
      </c>
      <c r="DB16" s="19" t="str">
        <f t="shared" si="12"/>
        <v/>
      </c>
      <c r="DC16" s="24" t="s">
        <v>17</v>
      </c>
      <c r="DD16" s="45"/>
      <c r="DE16" s="132"/>
    </row>
    <row r="17" spans="1:109" x14ac:dyDescent="0.25">
      <c r="A17" s="92"/>
      <c r="B17" s="113"/>
      <c r="C17" s="109" t="str">
        <f t="shared" ca="1" si="0"/>
        <v/>
      </c>
      <c r="D17" s="102" t="s">
        <v>14</v>
      </c>
      <c r="E17" s="140"/>
      <c r="F17" s="44"/>
      <c r="G17" s="19"/>
      <c r="H17" s="19"/>
      <c r="I17" s="19"/>
      <c r="J17" s="19"/>
      <c r="K17" s="24" t="s">
        <v>17</v>
      </c>
      <c r="L17" s="45"/>
      <c r="M17" s="132"/>
      <c r="N17" s="30" t="str">
        <f t="shared" si="13"/>
        <v/>
      </c>
      <c r="O17" s="16" t="str">
        <f t="shared" si="1"/>
        <v/>
      </c>
      <c r="P17" s="16" t="str">
        <f t="shared" si="1"/>
        <v/>
      </c>
      <c r="Q17" s="16" t="str">
        <f t="shared" si="1"/>
        <v/>
      </c>
      <c r="R17" s="16" t="str">
        <f t="shared" si="1"/>
        <v/>
      </c>
      <c r="S17" s="23" t="s">
        <v>17</v>
      </c>
      <c r="T17" s="31"/>
      <c r="U17" s="123"/>
      <c r="V17" s="44" t="str">
        <f t="shared" si="14"/>
        <v/>
      </c>
      <c r="W17" s="19" t="str">
        <f t="shared" si="2"/>
        <v/>
      </c>
      <c r="X17" s="19" t="str">
        <f t="shared" si="2"/>
        <v/>
      </c>
      <c r="Y17" s="19" t="str">
        <f t="shared" si="2"/>
        <v/>
      </c>
      <c r="Z17" s="19" t="str">
        <f t="shared" si="2"/>
        <v/>
      </c>
      <c r="AA17" s="24" t="s">
        <v>17</v>
      </c>
      <c r="AB17" s="45"/>
      <c r="AC17" s="132"/>
      <c r="AD17" s="30" t="str">
        <f t="shared" si="15"/>
        <v/>
      </c>
      <c r="AE17" s="16" t="str">
        <f t="shared" si="3"/>
        <v/>
      </c>
      <c r="AF17" s="16" t="str">
        <f t="shared" si="3"/>
        <v/>
      </c>
      <c r="AG17" s="16" t="str">
        <f t="shared" si="3"/>
        <v/>
      </c>
      <c r="AH17" s="16" t="str">
        <f t="shared" si="3"/>
        <v/>
      </c>
      <c r="AI17" s="23" t="s">
        <v>17</v>
      </c>
      <c r="AJ17" s="31"/>
      <c r="AK17" s="123"/>
      <c r="AL17" s="44" t="str">
        <f t="shared" si="16"/>
        <v/>
      </c>
      <c r="AM17" s="19" t="str">
        <f t="shared" si="4"/>
        <v/>
      </c>
      <c r="AN17" s="19" t="str">
        <f t="shared" si="4"/>
        <v/>
      </c>
      <c r="AO17" s="19" t="str">
        <f t="shared" si="4"/>
        <v/>
      </c>
      <c r="AP17" s="19" t="str">
        <f t="shared" si="4"/>
        <v/>
      </c>
      <c r="AQ17" s="24" t="s">
        <v>17</v>
      </c>
      <c r="AR17" s="45"/>
      <c r="AS17" s="132"/>
      <c r="AT17" s="30" t="str">
        <f t="shared" si="17"/>
        <v/>
      </c>
      <c r="AU17" s="16" t="str">
        <f t="shared" si="5"/>
        <v/>
      </c>
      <c r="AV17" s="16" t="str">
        <f t="shared" si="5"/>
        <v/>
      </c>
      <c r="AW17" s="16" t="str">
        <f t="shared" si="5"/>
        <v/>
      </c>
      <c r="AX17" s="16" t="str">
        <f t="shared" si="5"/>
        <v/>
      </c>
      <c r="AY17" s="23" t="s">
        <v>17</v>
      </c>
      <c r="AZ17" s="31"/>
      <c r="BA17" s="123"/>
      <c r="BB17" s="44" t="str">
        <f t="shared" si="18"/>
        <v/>
      </c>
      <c r="BC17" s="19" t="str">
        <f t="shared" si="6"/>
        <v/>
      </c>
      <c r="BD17" s="19" t="str">
        <f t="shared" si="6"/>
        <v/>
      </c>
      <c r="BE17" s="19" t="str">
        <f t="shared" si="6"/>
        <v/>
      </c>
      <c r="BF17" s="19" t="str">
        <f t="shared" si="6"/>
        <v/>
      </c>
      <c r="BG17" s="24" t="s">
        <v>17</v>
      </c>
      <c r="BH17" s="45"/>
      <c r="BI17" s="132"/>
      <c r="BJ17" s="30" t="str">
        <f t="shared" si="19"/>
        <v/>
      </c>
      <c r="BK17" s="16" t="str">
        <f t="shared" si="7"/>
        <v/>
      </c>
      <c r="BL17" s="16" t="str">
        <f t="shared" si="7"/>
        <v/>
      </c>
      <c r="BM17" s="16" t="str">
        <f t="shared" si="7"/>
        <v/>
      </c>
      <c r="BN17" s="16" t="str">
        <f t="shared" si="7"/>
        <v/>
      </c>
      <c r="BO17" s="23" t="s">
        <v>17</v>
      </c>
      <c r="BP17" s="31"/>
      <c r="BQ17" s="123"/>
      <c r="BR17" s="44" t="str">
        <f t="shared" si="20"/>
        <v/>
      </c>
      <c r="BS17" s="19" t="str">
        <f t="shared" si="8"/>
        <v/>
      </c>
      <c r="BT17" s="19" t="str">
        <f t="shared" si="8"/>
        <v/>
      </c>
      <c r="BU17" s="19" t="str">
        <f t="shared" si="8"/>
        <v/>
      </c>
      <c r="BV17" s="19" t="str">
        <f t="shared" si="8"/>
        <v/>
      </c>
      <c r="BW17" s="24" t="s">
        <v>17</v>
      </c>
      <c r="BX17" s="45"/>
      <c r="BY17" s="132"/>
      <c r="BZ17" s="30" t="str">
        <f t="shared" si="21"/>
        <v/>
      </c>
      <c r="CA17" s="16" t="str">
        <f t="shared" si="9"/>
        <v/>
      </c>
      <c r="CB17" s="16" t="str">
        <f t="shared" si="9"/>
        <v/>
      </c>
      <c r="CC17" s="16" t="str">
        <f t="shared" si="9"/>
        <v/>
      </c>
      <c r="CD17" s="16" t="str">
        <f t="shared" si="9"/>
        <v/>
      </c>
      <c r="CE17" s="23" t="s">
        <v>17</v>
      </c>
      <c r="CF17" s="31"/>
      <c r="CG17" s="123"/>
      <c r="CH17" s="44" t="str">
        <f t="shared" si="22"/>
        <v/>
      </c>
      <c r="CI17" s="19" t="str">
        <f t="shared" si="10"/>
        <v/>
      </c>
      <c r="CJ17" s="19" t="str">
        <f t="shared" si="10"/>
        <v/>
      </c>
      <c r="CK17" s="19" t="str">
        <f t="shared" si="10"/>
        <v/>
      </c>
      <c r="CL17" s="19" t="str">
        <f t="shared" si="10"/>
        <v/>
      </c>
      <c r="CM17" s="24" t="s">
        <v>17</v>
      </c>
      <c r="CN17" s="45"/>
      <c r="CO17" s="132"/>
      <c r="CP17" s="30" t="str">
        <f t="shared" si="23"/>
        <v/>
      </c>
      <c r="CQ17" s="16" t="str">
        <f t="shared" si="11"/>
        <v/>
      </c>
      <c r="CR17" s="16" t="str">
        <f t="shared" si="11"/>
        <v/>
      </c>
      <c r="CS17" s="16" t="str">
        <f t="shared" si="11"/>
        <v/>
      </c>
      <c r="CT17" s="16" t="str">
        <f t="shared" si="11"/>
        <v/>
      </c>
      <c r="CU17" s="23" t="s">
        <v>17</v>
      </c>
      <c r="CV17" s="31"/>
      <c r="CW17" s="123"/>
      <c r="CX17" s="44" t="str">
        <f t="shared" si="24"/>
        <v/>
      </c>
      <c r="CY17" s="19" t="str">
        <f t="shared" si="12"/>
        <v/>
      </c>
      <c r="CZ17" s="19" t="str">
        <f t="shared" si="12"/>
        <v/>
      </c>
      <c r="DA17" s="19" t="str">
        <f t="shared" si="12"/>
        <v/>
      </c>
      <c r="DB17" s="19" t="str">
        <f t="shared" si="12"/>
        <v/>
      </c>
      <c r="DC17" s="24" t="s">
        <v>17</v>
      </c>
      <c r="DD17" s="45"/>
      <c r="DE17" s="132"/>
    </row>
    <row r="18" spans="1:109" x14ac:dyDescent="0.25">
      <c r="A18" s="92"/>
      <c r="B18" s="113"/>
      <c r="C18" s="109" t="str">
        <f t="shared" ca="1" si="0"/>
        <v/>
      </c>
      <c r="D18" s="102" t="s">
        <v>14</v>
      </c>
      <c r="E18" s="140"/>
      <c r="F18" s="44"/>
      <c r="G18" s="19"/>
      <c r="H18" s="19"/>
      <c r="I18" s="19"/>
      <c r="J18" s="19"/>
      <c r="K18" s="24" t="s">
        <v>17</v>
      </c>
      <c r="L18" s="77"/>
      <c r="M18" s="132"/>
      <c r="N18" s="30" t="str">
        <f t="shared" si="13"/>
        <v/>
      </c>
      <c r="O18" s="16" t="str">
        <f t="shared" si="1"/>
        <v/>
      </c>
      <c r="P18" s="16" t="str">
        <f t="shared" si="1"/>
        <v/>
      </c>
      <c r="Q18" s="16" t="str">
        <f t="shared" si="1"/>
        <v/>
      </c>
      <c r="R18" s="16" t="str">
        <f t="shared" si="1"/>
        <v/>
      </c>
      <c r="S18" s="23" t="s">
        <v>17</v>
      </c>
      <c r="T18" s="31"/>
      <c r="U18" s="123"/>
      <c r="V18" s="44" t="str">
        <f t="shared" si="14"/>
        <v/>
      </c>
      <c r="W18" s="19" t="str">
        <f t="shared" si="2"/>
        <v/>
      </c>
      <c r="X18" s="19" t="str">
        <f t="shared" si="2"/>
        <v/>
      </c>
      <c r="Y18" s="19" t="str">
        <f t="shared" si="2"/>
        <v/>
      </c>
      <c r="Z18" s="19" t="str">
        <f t="shared" si="2"/>
        <v/>
      </c>
      <c r="AA18" s="24" t="s">
        <v>17</v>
      </c>
      <c r="AB18" s="45"/>
      <c r="AC18" s="132"/>
      <c r="AD18" s="30" t="str">
        <f t="shared" si="15"/>
        <v/>
      </c>
      <c r="AE18" s="16" t="str">
        <f t="shared" si="3"/>
        <v/>
      </c>
      <c r="AF18" s="16" t="str">
        <f t="shared" si="3"/>
        <v/>
      </c>
      <c r="AG18" s="16" t="str">
        <f t="shared" si="3"/>
        <v/>
      </c>
      <c r="AH18" s="16" t="str">
        <f t="shared" si="3"/>
        <v/>
      </c>
      <c r="AI18" s="23" t="s">
        <v>17</v>
      </c>
      <c r="AJ18" s="31"/>
      <c r="AK18" s="123"/>
      <c r="AL18" s="44" t="str">
        <f t="shared" si="16"/>
        <v/>
      </c>
      <c r="AM18" s="19" t="str">
        <f t="shared" si="4"/>
        <v/>
      </c>
      <c r="AN18" s="19" t="str">
        <f t="shared" si="4"/>
        <v/>
      </c>
      <c r="AO18" s="19" t="str">
        <f t="shared" si="4"/>
        <v/>
      </c>
      <c r="AP18" s="19" t="str">
        <f t="shared" si="4"/>
        <v/>
      </c>
      <c r="AQ18" s="24" t="s">
        <v>17</v>
      </c>
      <c r="AR18" s="45"/>
      <c r="AS18" s="132"/>
      <c r="AT18" s="30" t="str">
        <f t="shared" si="17"/>
        <v/>
      </c>
      <c r="AU18" s="16" t="str">
        <f t="shared" si="5"/>
        <v/>
      </c>
      <c r="AV18" s="16" t="str">
        <f t="shared" si="5"/>
        <v/>
      </c>
      <c r="AW18" s="16" t="str">
        <f t="shared" si="5"/>
        <v/>
      </c>
      <c r="AX18" s="16" t="str">
        <f t="shared" si="5"/>
        <v/>
      </c>
      <c r="AY18" s="23" t="s">
        <v>17</v>
      </c>
      <c r="AZ18" s="31"/>
      <c r="BA18" s="123"/>
      <c r="BB18" s="44" t="str">
        <f t="shared" si="18"/>
        <v/>
      </c>
      <c r="BC18" s="19" t="str">
        <f t="shared" si="6"/>
        <v/>
      </c>
      <c r="BD18" s="19" t="str">
        <f t="shared" si="6"/>
        <v/>
      </c>
      <c r="BE18" s="19" t="str">
        <f t="shared" si="6"/>
        <v/>
      </c>
      <c r="BF18" s="19" t="str">
        <f t="shared" si="6"/>
        <v/>
      </c>
      <c r="BG18" s="24" t="s">
        <v>17</v>
      </c>
      <c r="BH18" s="45"/>
      <c r="BI18" s="132"/>
      <c r="BJ18" s="30" t="str">
        <f t="shared" si="19"/>
        <v/>
      </c>
      <c r="BK18" s="16" t="str">
        <f t="shared" si="7"/>
        <v/>
      </c>
      <c r="BL18" s="16" t="str">
        <f t="shared" si="7"/>
        <v/>
      </c>
      <c r="BM18" s="16" t="str">
        <f t="shared" si="7"/>
        <v/>
      </c>
      <c r="BN18" s="16" t="str">
        <f t="shared" si="7"/>
        <v/>
      </c>
      <c r="BO18" s="23" t="s">
        <v>17</v>
      </c>
      <c r="BP18" s="31"/>
      <c r="BQ18" s="123"/>
      <c r="BR18" s="44" t="str">
        <f t="shared" si="20"/>
        <v/>
      </c>
      <c r="BS18" s="19" t="str">
        <f t="shared" si="8"/>
        <v/>
      </c>
      <c r="BT18" s="19" t="str">
        <f t="shared" si="8"/>
        <v/>
      </c>
      <c r="BU18" s="19" t="str">
        <f t="shared" si="8"/>
        <v/>
      </c>
      <c r="BV18" s="19" t="str">
        <f t="shared" si="8"/>
        <v/>
      </c>
      <c r="BW18" s="24" t="s">
        <v>17</v>
      </c>
      <c r="BX18" s="45"/>
      <c r="BY18" s="132"/>
      <c r="BZ18" s="30" t="str">
        <f t="shared" si="21"/>
        <v/>
      </c>
      <c r="CA18" s="16" t="str">
        <f t="shared" si="9"/>
        <v/>
      </c>
      <c r="CB18" s="16" t="str">
        <f t="shared" si="9"/>
        <v/>
      </c>
      <c r="CC18" s="16" t="str">
        <f t="shared" si="9"/>
        <v/>
      </c>
      <c r="CD18" s="16" t="str">
        <f t="shared" si="9"/>
        <v/>
      </c>
      <c r="CE18" s="23" t="s">
        <v>17</v>
      </c>
      <c r="CF18" s="31"/>
      <c r="CG18" s="123"/>
      <c r="CH18" s="44" t="str">
        <f t="shared" si="22"/>
        <v/>
      </c>
      <c r="CI18" s="19" t="str">
        <f t="shared" si="10"/>
        <v/>
      </c>
      <c r="CJ18" s="19" t="str">
        <f t="shared" si="10"/>
        <v/>
      </c>
      <c r="CK18" s="19" t="str">
        <f t="shared" si="10"/>
        <v/>
      </c>
      <c r="CL18" s="19" t="str">
        <f t="shared" si="10"/>
        <v/>
      </c>
      <c r="CM18" s="24" t="s">
        <v>17</v>
      </c>
      <c r="CN18" s="45"/>
      <c r="CO18" s="132"/>
      <c r="CP18" s="30" t="str">
        <f t="shared" si="23"/>
        <v/>
      </c>
      <c r="CQ18" s="16" t="str">
        <f t="shared" si="11"/>
        <v/>
      </c>
      <c r="CR18" s="16" t="str">
        <f t="shared" si="11"/>
        <v/>
      </c>
      <c r="CS18" s="16" t="str">
        <f t="shared" si="11"/>
        <v/>
      </c>
      <c r="CT18" s="16" t="str">
        <f t="shared" si="11"/>
        <v/>
      </c>
      <c r="CU18" s="23" t="s">
        <v>17</v>
      </c>
      <c r="CV18" s="31"/>
      <c r="CW18" s="123"/>
      <c r="CX18" s="44" t="str">
        <f t="shared" si="24"/>
        <v/>
      </c>
      <c r="CY18" s="19" t="str">
        <f t="shared" si="12"/>
        <v/>
      </c>
      <c r="CZ18" s="19" t="str">
        <f t="shared" si="12"/>
        <v/>
      </c>
      <c r="DA18" s="19" t="str">
        <f t="shared" si="12"/>
        <v/>
      </c>
      <c r="DB18" s="19" t="str">
        <f t="shared" si="12"/>
        <v/>
      </c>
      <c r="DC18" s="24" t="s">
        <v>17</v>
      </c>
      <c r="DD18" s="45"/>
      <c r="DE18" s="132"/>
    </row>
    <row r="19" spans="1:109" x14ac:dyDescent="0.25">
      <c r="A19" s="91"/>
      <c r="B19" s="88"/>
      <c r="C19" s="109" t="str">
        <f t="shared" ca="1" si="0"/>
        <v/>
      </c>
      <c r="D19" s="102" t="s">
        <v>15</v>
      </c>
      <c r="E19" s="140"/>
      <c r="F19" s="44"/>
      <c r="G19" s="19"/>
      <c r="H19" s="19"/>
      <c r="I19" s="19"/>
      <c r="J19" s="19"/>
      <c r="K19" s="24" t="s">
        <v>17</v>
      </c>
      <c r="L19" s="77"/>
      <c r="M19" s="132"/>
      <c r="N19" s="30" t="str">
        <f t="shared" si="13"/>
        <v/>
      </c>
      <c r="O19" s="16" t="str">
        <f t="shared" si="1"/>
        <v/>
      </c>
      <c r="P19" s="16" t="str">
        <f t="shared" si="1"/>
        <v/>
      </c>
      <c r="Q19" s="16" t="str">
        <f t="shared" si="1"/>
        <v/>
      </c>
      <c r="R19" s="16" t="str">
        <f t="shared" si="1"/>
        <v/>
      </c>
      <c r="S19" s="23" t="s">
        <v>17</v>
      </c>
      <c r="T19" s="31"/>
      <c r="U19" s="123"/>
      <c r="V19" s="44" t="str">
        <f t="shared" si="14"/>
        <v/>
      </c>
      <c r="W19" s="19" t="str">
        <f t="shared" si="2"/>
        <v/>
      </c>
      <c r="X19" s="19" t="str">
        <f t="shared" si="2"/>
        <v/>
      </c>
      <c r="Y19" s="19" t="str">
        <f t="shared" si="2"/>
        <v/>
      </c>
      <c r="Z19" s="19" t="str">
        <f t="shared" si="2"/>
        <v/>
      </c>
      <c r="AA19" s="24" t="s">
        <v>17</v>
      </c>
      <c r="AB19" s="45"/>
      <c r="AC19" s="132"/>
      <c r="AD19" s="30" t="str">
        <f t="shared" si="15"/>
        <v/>
      </c>
      <c r="AE19" s="16" t="str">
        <f t="shared" si="3"/>
        <v/>
      </c>
      <c r="AF19" s="16" t="str">
        <f t="shared" si="3"/>
        <v/>
      </c>
      <c r="AG19" s="16" t="str">
        <f t="shared" si="3"/>
        <v/>
      </c>
      <c r="AH19" s="16" t="str">
        <f t="shared" si="3"/>
        <v/>
      </c>
      <c r="AI19" s="23" t="s">
        <v>17</v>
      </c>
      <c r="AJ19" s="31"/>
      <c r="AK19" s="123"/>
      <c r="AL19" s="44" t="str">
        <f t="shared" si="16"/>
        <v/>
      </c>
      <c r="AM19" s="19" t="str">
        <f t="shared" si="4"/>
        <v/>
      </c>
      <c r="AN19" s="19" t="str">
        <f t="shared" si="4"/>
        <v/>
      </c>
      <c r="AO19" s="19" t="str">
        <f t="shared" si="4"/>
        <v/>
      </c>
      <c r="AP19" s="19" t="str">
        <f t="shared" si="4"/>
        <v/>
      </c>
      <c r="AQ19" s="24" t="s">
        <v>17</v>
      </c>
      <c r="AR19" s="45"/>
      <c r="AS19" s="132"/>
      <c r="AT19" s="30" t="str">
        <f t="shared" si="17"/>
        <v/>
      </c>
      <c r="AU19" s="16" t="str">
        <f t="shared" si="5"/>
        <v/>
      </c>
      <c r="AV19" s="16" t="str">
        <f t="shared" si="5"/>
        <v/>
      </c>
      <c r="AW19" s="16" t="str">
        <f t="shared" si="5"/>
        <v/>
      </c>
      <c r="AX19" s="16" t="str">
        <f t="shared" si="5"/>
        <v/>
      </c>
      <c r="AY19" s="23" t="s">
        <v>17</v>
      </c>
      <c r="AZ19" s="31"/>
      <c r="BA19" s="123"/>
      <c r="BB19" s="44" t="str">
        <f t="shared" si="18"/>
        <v/>
      </c>
      <c r="BC19" s="19" t="str">
        <f t="shared" si="6"/>
        <v/>
      </c>
      <c r="BD19" s="19" t="str">
        <f t="shared" si="6"/>
        <v/>
      </c>
      <c r="BE19" s="19" t="str">
        <f t="shared" si="6"/>
        <v/>
      </c>
      <c r="BF19" s="19" t="str">
        <f t="shared" si="6"/>
        <v/>
      </c>
      <c r="BG19" s="24" t="s">
        <v>17</v>
      </c>
      <c r="BH19" s="45"/>
      <c r="BI19" s="132"/>
      <c r="BJ19" s="30" t="str">
        <f t="shared" si="19"/>
        <v/>
      </c>
      <c r="BK19" s="16" t="str">
        <f t="shared" si="7"/>
        <v/>
      </c>
      <c r="BL19" s="16" t="str">
        <f t="shared" si="7"/>
        <v/>
      </c>
      <c r="BM19" s="16" t="str">
        <f t="shared" si="7"/>
        <v/>
      </c>
      <c r="BN19" s="16" t="str">
        <f t="shared" si="7"/>
        <v/>
      </c>
      <c r="BO19" s="23" t="s">
        <v>17</v>
      </c>
      <c r="BP19" s="31"/>
      <c r="BQ19" s="123"/>
      <c r="BR19" s="44" t="str">
        <f t="shared" si="20"/>
        <v/>
      </c>
      <c r="BS19" s="19" t="str">
        <f t="shared" si="8"/>
        <v/>
      </c>
      <c r="BT19" s="19" t="str">
        <f t="shared" si="8"/>
        <v/>
      </c>
      <c r="BU19" s="19" t="str">
        <f t="shared" si="8"/>
        <v/>
      </c>
      <c r="BV19" s="19" t="str">
        <f t="shared" si="8"/>
        <v/>
      </c>
      <c r="BW19" s="24" t="s">
        <v>17</v>
      </c>
      <c r="BX19" s="45"/>
      <c r="BY19" s="132"/>
      <c r="BZ19" s="30" t="str">
        <f t="shared" si="21"/>
        <v/>
      </c>
      <c r="CA19" s="16" t="str">
        <f t="shared" si="9"/>
        <v/>
      </c>
      <c r="CB19" s="16" t="str">
        <f t="shared" si="9"/>
        <v/>
      </c>
      <c r="CC19" s="16" t="str">
        <f t="shared" si="9"/>
        <v/>
      </c>
      <c r="CD19" s="16" t="str">
        <f t="shared" si="9"/>
        <v/>
      </c>
      <c r="CE19" s="23" t="s">
        <v>17</v>
      </c>
      <c r="CF19" s="31"/>
      <c r="CG19" s="123"/>
      <c r="CH19" s="44" t="str">
        <f t="shared" si="22"/>
        <v/>
      </c>
      <c r="CI19" s="19" t="str">
        <f t="shared" si="10"/>
        <v/>
      </c>
      <c r="CJ19" s="19" t="str">
        <f t="shared" si="10"/>
        <v/>
      </c>
      <c r="CK19" s="19" t="str">
        <f t="shared" si="10"/>
        <v/>
      </c>
      <c r="CL19" s="19" t="str">
        <f t="shared" si="10"/>
        <v/>
      </c>
      <c r="CM19" s="24" t="s">
        <v>17</v>
      </c>
      <c r="CN19" s="45"/>
      <c r="CO19" s="132"/>
      <c r="CP19" s="30" t="str">
        <f t="shared" si="23"/>
        <v/>
      </c>
      <c r="CQ19" s="16" t="str">
        <f t="shared" si="11"/>
        <v/>
      </c>
      <c r="CR19" s="16" t="str">
        <f t="shared" si="11"/>
        <v/>
      </c>
      <c r="CS19" s="16" t="str">
        <f t="shared" si="11"/>
        <v/>
      </c>
      <c r="CT19" s="16" t="str">
        <f t="shared" si="11"/>
        <v/>
      </c>
      <c r="CU19" s="23" t="s">
        <v>17</v>
      </c>
      <c r="CV19" s="31"/>
      <c r="CW19" s="123"/>
      <c r="CX19" s="44" t="str">
        <f t="shared" si="24"/>
        <v/>
      </c>
      <c r="CY19" s="19" t="str">
        <f t="shared" si="12"/>
        <v/>
      </c>
      <c r="CZ19" s="19" t="str">
        <f t="shared" si="12"/>
        <v/>
      </c>
      <c r="DA19" s="19" t="str">
        <f t="shared" si="12"/>
        <v/>
      </c>
      <c r="DB19" s="19" t="str">
        <f t="shared" si="12"/>
        <v/>
      </c>
      <c r="DC19" s="24" t="s">
        <v>17</v>
      </c>
      <c r="DD19" s="45"/>
      <c r="DE19" s="132"/>
    </row>
    <row r="20" spans="1:109" x14ac:dyDescent="0.25">
      <c r="A20" s="91"/>
      <c r="B20" s="88"/>
      <c r="C20" s="109" t="str">
        <f t="shared" ca="1" si="0"/>
        <v/>
      </c>
      <c r="D20" s="102" t="s">
        <v>15</v>
      </c>
      <c r="E20" s="140"/>
      <c r="F20" s="44"/>
      <c r="G20" s="19"/>
      <c r="H20" s="19"/>
      <c r="I20" s="19"/>
      <c r="J20" s="19"/>
      <c r="K20" s="24" t="s">
        <v>18</v>
      </c>
      <c r="L20" s="77"/>
      <c r="M20" s="132"/>
      <c r="N20" s="30" t="str">
        <f t="shared" si="13"/>
        <v/>
      </c>
      <c r="O20" s="16" t="str">
        <f t="shared" si="1"/>
        <v/>
      </c>
      <c r="P20" s="16" t="str">
        <f t="shared" si="1"/>
        <v/>
      </c>
      <c r="Q20" s="16" t="str">
        <f t="shared" si="1"/>
        <v/>
      </c>
      <c r="R20" s="16" t="str">
        <f t="shared" si="1"/>
        <v/>
      </c>
      <c r="S20" s="23" t="s">
        <v>18</v>
      </c>
      <c r="T20" s="31"/>
      <c r="U20" s="123"/>
      <c r="V20" s="44" t="str">
        <f t="shared" si="14"/>
        <v/>
      </c>
      <c r="W20" s="19" t="str">
        <f t="shared" si="2"/>
        <v/>
      </c>
      <c r="X20" s="19" t="str">
        <f t="shared" si="2"/>
        <v/>
      </c>
      <c r="Y20" s="19" t="str">
        <f t="shared" si="2"/>
        <v/>
      </c>
      <c r="Z20" s="19" t="str">
        <f t="shared" si="2"/>
        <v/>
      </c>
      <c r="AA20" s="24" t="s">
        <v>18</v>
      </c>
      <c r="AB20" s="45"/>
      <c r="AC20" s="132"/>
      <c r="AD20" s="30" t="str">
        <f t="shared" si="15"/>
        <v/>
      </c>
      <c r="AE20" s="16" t="str">
        <f t="shared" si="3"/>
        <v/>
      </c>
      <c r="AF20" s="16" t="str">
        <f t="shared" si="3"/>
        <v/>
      </c>
      <c r="AG20" s="16" t="str">
        <f t="shared" si="3"/>
        <v/>
      </c>
      <c r="AH20" s="16" t="str">
        <f t="shared" si="3"/>
        <v/>
      </c>
      <c r="AI20" s="23" t="s">
        <v>18</v>
      </c>
      <c r="AJ20" s="31"/>
      <c r="AK20" s="123"/>
      <c r="AL20" s="44" t="str">
        <f t="shared" si="16"/>
        <v/>
      </c>
      <c r="AM20" s="19" t="str">
        <f t="shared" si="4"/>
        <v/>
      </c>
      <c r="AN20" s="19" t="str">
        <f t="shared" si="4"/>
        <v/>
      </c>
      <c r="AO20" s="19" t="str">
        <f t="shared" si="4"/>
        <v/>
      </c>
      <c r="AP20" s="19" t="str">
        <f t="shared" si="4"/>
        <v/>
      </c>
      <c r="AQ20" s="24" t="s">
        <v>18</v>
      </c>
      <c r="AR20" s="45"/>
      <c r="AS20" s="132"/>
      <c r="AT20" s="30" t="str">
        <f t="shared" si="17"/>
        <v/>
      </c>
      <c r="AU20" s="16" t="str">
        <f t="shared" si="5"/>
        <v/>
      </c>
      <c r="AV20" s="16" t="str">
        <f t="shared" si="5"/>
        <v/>
      </c>
      <c r="AW20" s="16" t="str">
        <f t="shared" si="5"/>
        <v/>
      </c>
      <c r="AX20" s="16" t="str">
        <f t="shared" si="5"/>
        <v/>
      </c>
      <c r="AY20" s="23" t="s">
        <v>18</v>
      </c>
      <c r="AZ20" s="31"/>
      <c r="BA20" s="123"/>
      <c r="BB20" s="44" t="str">
        <f t="shared" si="18"/>
        <v/>
      </c>
      <c r="BC20" s="19" t="str">
        <f t="shared" si="6"/>
        <v/>
      </c>
      <c r="BD20" s="19" t="str">
        <f t="shared" si="6"/>
        <v/>
      </c>
      <c r="BE20" s="19" t="str">
        <f t="shared" si="6"/>
        <v/>
      </c>
      <c r="BF20" s="19" t="str">
        <f t="shared" si="6"/>
        <v/>
      </c>
      <c r="BG20" s="24" t="s">
        <v>18</v>
      </c>
      <c r="BH20" s="45"/>
      <c r="BI20" s="132"/>
      <c r="BJ20" s="30" t="str">
        <f t="shared" si="19"/>
        <v/>
      </c>
      <c r="BK20" s="16" t="str">
        <f t="shared" si="7"/>
        <v/>
      </c>
      <c r="BL20" s="16" t="str">
        <f t="shared" si="7"/>
        <v/>
      </c>
      <c r="BM20" s="16" t="str">
        <f t="shared" si="7"/>
        <v/>
      </c>
      <c r="BN20" s="16" t="str">
        <f t="shared" si="7"/>
        <v/>
      </c>
      <c r="BO20" s="23" t="s">
        <v>18</v>
      </c>
      <c r="BP20" s="31"/>
      <c r="BQ20" s="123"/>
      <c r="BR20" s="44" t="str">
        <f t="shared" si="20"/>
        <v/>
      </c>
      <c r="BS20" s="19" t="str">
        <f t="shared" si="8"/>
        <v/>
      </c>
      <c r="BT20" s="19" t="str">
        <f t="shared" si="8"/>
        <v/>
      </c>
      <c r="BU20" s="19" t="str">
        <f t="shared" si="8"/>
        <v/>
      </c>
      <c r="BV20" s="19" t="str">
        <f t="shared" si="8"/>
        <v/>
      </c>
      <c r="BW20" s="24" t="s">
        <v>18</v>
      </c>
      <c r="BX20" s="45"/>
      <c r="BY20" s="132"/>
      <c r="BZ20" s="30" t="str">
        <f t="shared" si="21"/>
        <v/>
      </c>
      <c r="CA20" s="16" t="str">
        <f t="shared" si="9"/>
        <v/>
      </c>
      <c r="CB20" s="16" t="str">
        <f t="shared" si="9"/>
        <v/>
      </c>
      <c r="CC20" s="16" t="str">
        <f t="shared" si="9"/>
        <v/>
      </c>
      <c r="CD20" s="16" t="str">
        <f t="shared" si="9"/>
        <v/>
      </c>
      <c r="CE20" s="23" t="s">
        <v>18</v>
      </c>
      <c r="CF20" s="31"/>
      <c r="CG20" s="123"/>
      <c r="CH20" s="44" t="str">
        <f t="shared" si="22"/>
        <v/>
      </c>
      <c r="CI20" s="19" t="str">
        <f t="shared" si="10"/>
        <v/>
      </c>
      <c r="CJ20" s="19" t="str">
        <f t="shared" si="10"/>
        <v/>
      </c>
      <c r="CK20" s="19" t="str">
        <f t="shared" si="10"/>
        <v/>
      </c>
      <c r="CL20" s="19" t="str">
        <f t="shared" si="10"/>
        <v/>
      </c>
      <c r="CM20" s="24" t="s">
        <v>18</v>
      </c>
      <c r="CN20" s="45"/>
      <c r="CO20" s="132"/>
      <c r="CP20" s="30" t="str">
        <f t="shared" si="23"/>
        <v/>
      </c>
      <c r="CQ20" s="16" t="str">
        <f t="shared" si="11"/>
        <v/>
      </c>
      <c r="CR20" s="16" t="str">
        <f t="shared" si="11"/>
        <v/>
      </c>
      <c r="CS20" s="16" t="str">
        <f t="shared" si="11"/>
        <v/>
      </c>
      <c r="CT20" s="16" t="str">
        <f t="shared" si="11"/>
        <v/>
      </c>
      <c r="CU20" s="23" t="s">
        <v>18</v>
      </c>
      <c r="CV20" s="31"/>
      <c r="CW20" s="123"/>
      <c r="CX20" s="44" t="str">
        <f t="shared" si="24"/>
        <v/>
      </c>
      <c r="CY20" s="19" t="str">
        <f t="shared" si="12"/>
        <v/>
      </c>
      <c r="CZ20" s="19" t="str">
        <f t="shared" si="12"/>
        <v/>
      </c>
      <c r="DA20" s="19" t="str">
        <f t="shared" si="12"/>
        <v/>
      </c>
      <c r="DB20" s="19" t="str">
        <f t="shared" si="12"/>
        <v/>
      </c>
      <c r="DC20" s="24" t="s">
        <v>18</v>
      </c>
      <c r="DD20" s="45"/>
      <c r="DE20" s="132"/>
    </row>
    <row r="21" spans="1:109" x14ac:dyDescent="0.25">
      <c r="A21" s="91"/>
      <c r="B21" s="88"/>
      <c r="C21" s="109" t="str">
        <f t="shared" ca="1" si="0"/>
        <v/>
      </c>
      <c r="D21" s="102" t="s">
        <v>14</v>
      </c>
      <c r="E21" s="140"/>
      <c r="F21" s="44"/>
      <c r="G21" s="19"/>
      <c r="H21" s="19"/>
      <c r="I21" s="19"/>
      <c r="J21" s="19"/>
      <c r="K21" s="24" t="s">
        <v>17</v>
      </c>
      <c r="L21" s="77"/>
      <c r="M21" s="132"/>
      <c r="N21" s="30" t="str">
        <f t="shared" si="13"/>
        <v/>
      </c>
      <c r="O21" s="16" t="str">
        <f t="shared" si="1"/>
        <v/>
      </c>
      <c r="P21" s="16" t="str">
        <f t="shared" si="1"/>
        <v/>
      </c>
      <c r="Q21" s="16" t="str">
        <f t="shared" si="1"/>
        <v/>
      </c>
      <c r="R21" s="16" t="str">
        <f t="shared" si="1"/>
        <v/>
      </c>
      <c r="S21" s="23" t="s">
        <v>17</v>
      </c>
      <c r="T21" s="31"/>
      <c r="U21" s="123"/>
      <c r="V21" s="44" t="str">
        <f t="shared" si="14"/>
        <v/>
      </c>
      <c r="W21" s="19" t="str">
        <f t="shared" si="2"/>
        <v/>
      </c>
      <c r="X21" s="19" t="str">
        <f t="shared" si="2"/>
        <v/>
      </c>
      <c r="Y21" s="19" t="str">
        <f t="shared" si="2"/>
        <v/>
      </c>
      <c r="Z21" s="19" t="str">
        <f t="shared" si="2"/>
        <v/>
      </c>
      <c r="AA21" s="24" t="s">
        <v>17</v>
      </c>
      <c r="AB21" s="45"/>
      <c r="AC21" s="132"/>
      <c r="AD21" s="30" t="str">
        <f t="shared" si="15"/>
        <v/>
      </c>
      <c r="AE21" s="16" t="str">
        <f t="shared" si="3"/>
        <v/>
      </c>
      <c r="AF21" s="16" t="str">
        <f t="shared" si="3"/>
        <v/>
      </c>
      <c r="AG21" s="16" t="str">
        <f t="shared" si="3"/>
        <v/>
      </c>
      <c r="AH21" s="16" t="str">
        <f t="shared" si="3"/>
        <v/>
      </c>
      <c r="AI21" s="23" t="s">
        <v>17</v>
      </c>
      <c r="AJ21" s="31"/>
      <c r="AK21" s="123"/>
      <c r="AL21" s="44" t="str">
        <f t="shared" si="16"/>
        <v/>
      </c>
      <c r="AM21" s="19" t="str">
        <f t="shared" si="4"/>
        <v/>
      </c>
      <c r="AN21" s="19" t="str">
        <f t="shared" si="4"/>
        <v/>
      </c>
      <c r="AO21" s="19" t="str">
        <f t="shared" si="4"/>
        <v/>
      </c>
      <c r="AP21" s="19" t="str">
        <f t="shared" si="4"/>
        <v/>
      </c>
      <c r="AQ21" s="24" t="s">
        <v>17</v>
      </c>
      <c r="AR21" s="45"/>
      <c r="AS21" s="132"/>
      <c r="AT21" s="30" t="str">
        <f t="shared" si="17"/>
        <v/>
      </c>
      <c r="AU21" s="16" t="str">
        <f t="shared" si="5"/>
        <v/>
      </c>
      <c r="AV21" s="16" t="str">
        <f t="shared" si="5"/>
        <v/>
      </c>
      <c r="AW21" s="16" t="str">
        <f t="shared" si="5"/>
        <v/>
      </c>
      <c r="AX21" s="16" t="str">
        <f t="shared" si="5"/>
        <v/>
      </c>
      <c r="AY21" s="23" t="s">
        <v>17</v>
      </c>
      <c r="AZ21" s="31"/>
      <c r="BA21" s="123"/>
      <c r="BB21" s="44" t="str">
        <f t="shared" si="18"/>
        <v/>
      </c>
      <c r="BC21" s="19" t="str">
        <f t="shared" si="6"/>
        <v/>
      </c>
      <c r="BD21" s="19" t="str">
        <f t="shared" si="6"/>
        <v/>
      </c>
      <c r="BE21" s="19" t="str">
        <f t="shared" si="6"/>
        <v/>
      </c>
      <c r="BF21" s="19" t="str">
        <f t="shared" si="6"/>
        <v/>
      </c>
      <c r="BG21" s="24" t="s">
        <v>17</v>
      </c>
      <c r="BH21" s="45"/>
      <c r="BI21" s="132"/>
      <c r="BJ21" s="30" t="str">
        <f t="shared" si="19"/>
        <v/>
      </c>
      <c r="BK21" s="16" t="str">
        <f t="shared" si="7"/>
        <v/>
      </c>
      <c r="BL21" s="16" t="str">
        <f t="shared" si="7"/>
        <v/>
      </c>
      <c r="BM21" s="16" t="str">
        <f t="shared" si="7"/>
        <v/>
      </c>
      <c r="BN21" s="16" t="str">
        <f t="shared" si="7"/>
        <v/>
      </c>
      <c r="BO21" s="23" t="s">
        <v>17</v>
      </c>
      <c r="BP21" s="31"/>
      <c r="BQ21" s="123"/>
      <c r="BR21" s="44" t="str">
        <f t="shared" si="20"/>
        <v/>
      </c>
      <c r="BS21" s="19" t="str">
        <f t="shared" si="8"/>
        <v/>
      </c>
      <c r="BT21" s="19" t="str">
        <f t="shared" si="8"/>
        <v/>
      </c>
      <c r="BU21" s="19" t="str">
        <f t="shared" si="8"/>
        <v/>
      </c>
      <c r="BV21" s="19" t="str">
        <f t="shared" si="8"/>
        <v/>
      </c>
      <c r="BW21" s="24" t="s">
        <v>17</v>
      </c>
      <c r="BX21" s="45"/>
      <c r="BY21" s="132"/>
      <c r="BZ21" s="30" t="str">
        <f t="shared" si="21"/>
        <v/>
      </c>
      <c r="CA21" s="16" t="str">
        <f t="shared" si="9"/>
        <v/>
      </c>
      <c r="CB21" s="16" t="str">
        <f t="shared" si="9"/>
        <v/>
      </c>
      <c r="CC21" s="16" t="str">
        <f t="shared" si="9"/>
        <v/>
      </c>
      <c r="CD21" s="16" t="str">
        <f t="shared" si="9"/>
        <v/>
      </c>
      <c r="CE21" s="23" t="s">
        <v>17</v>
      </c>
      <c r="CF21" s="31"/>
      <c r="CG21" s="123"/>
      <c r="CH21" s="44" t="str">
        <f t="shared" si="22"/>
        <v/>
      </c>
      <c r="CI21" s="19" t="str">
        <f t="shared" si="10"/>
        <v/>
      </c>
      <c r="CJ21" s="19" t="str">
        <f t="shared" si="10"/>
        <v/>
      </c>
      <c r="CK21" s="19" t="str">
        <f t="shared" si="10"/>
        <v/>
      </c>
      <c r="CL21" s="19" t="str">
        <f t="shared" si="10"/>
        <v/>
      </c>
      <c r="CM21" s="24" t="s">
        <v>17</v>
      </c>
      <c r="CN21" s="45"/>
      <c r="CO21" s="132"/>
      <c r="CP21" s="30" t="str">
        <f t="shared" si="23"/>
        <v/>
      </c>
      <c r="CQ21" s="16" t="str">
        <f t="shared" si="11"/>
        <v/>
      </c>
      <c r="CR21" s="16" t="str">
        <f t="shared" si="11"/>
        <v/>
      </c>
      <c r="CS21" s="16" t="str">
        <f t="shared" si="11"/>
        <v/>
      </c>
      <c r="CT21" s="16" t="str">
        <f t="shared" si="11"/>
        <v/>
      </c>
      <c r="CU21" s="23" t="s">
        <v>17</v>
      </c>
      <c r="CV21" s="31"/>
      <c r="CW21" s="123"/>
      <c r="CX21" s="44" t="str">
        <f t="shared" si="24"/>
        <v/>
      </c>
      <c r="CY21" s="19" t="str">
        <f t="shared" si="12"/>
        <v/>
      </c>
      <c r="CZ21" s="19" t="str">
        <f t="shared" si="12"/>
        <v/>
      </c>
      <c r="DA21" s="19" t="str">
        <f t="shared" si="12"/>
        <v/>
      </c>
      <c r="DB21" s="19" t="str">
        <f t="shared" si="12"/>
        <v/>
      </c>
      <c r="DC21" s="24" t="s">
        <v>17</v>
      </c>
      <c r="DD21" s="45"/>
      <c r="DE21" s="132"/>
    </row>
    <row r="22" spans="1:109" x14ac:dyDescent="0.25">
      <c r="A22" s="91"/>
      <c r="B22" s="88"/>
      <c r="C22" s="109" t="str">
        <f t="shared" ca="1" si="0"/>
        <v/>
      </c>
      <c r="D22" s="102" t="s">
        <v>14</v>
      </c>
      <c r="E22" s="140"/>
      <c r="F22" s="44"/>
      <c r="G22" s="19"/>
      <c r="H22" s="19"/>
      <c r="I22" s="19"/>
      <c r="J22" s="19"/>
      <c r="K22" s="24" t="s">
        <v>18</v>
      </c>
      <c r="L22" s="77"/>
      <c r="M22" s="132"/>
      <c r="N22" s="30" t="str">
        <f t="shared" si="13"/>
        <v/>
      </c>
      <c r="O22" s="16" t="str">
        <f t="shared" si="1"/>
        <v/>
      </c>
      <c r="P22" s="16" t="str">
        <f t="shared" si="1"/>
        <v/>
      </c>
      <c r="Q22" s="16" t="str">
        <f t="shared" si="1"/>
        <v/>
      </c>
      <c r="R22" s="16" t="str">
        <f t="shared" si="1"/>
        <v/>
      </c>
      <c r="S22" s="23" t="s">
        <v>18</v>
      </c>
      <c r="T22" s="31"/>
      <c r="U22" s="123"/>
      <c r="V22" s="44" t="str">
        <f t="shared" si="14"/>
        <v/>
      </c>
      <c r="W22" s="19" t="str">
        <f t="shared" si="2"/>
        <v/>
      </c>
      <c r="X22" s="19" t="str">
        <f t="shared" si="2"/>
        <v/>
      </c>
      <c r="Y22" s="19" t="str">
        <f t="shared" si="2"/>
        <v/>
      </c>
      <c r="Z22" s="19" t="str">
        <f t="shared" si="2"/>
        <v/>
      </c>
      <c r="AA22" s="24" t="s">
        <v>18</v>
      </c>
      <c r="AB22" s="45"/>
      <c r="AC22" s="132"/>
      <c r="AD22" s="30" t="str">
        <f t="shared" si="15"/>
        <v/>
      </c>
      <c r="AE22" s="16" t="str">
        <f t="shared" si="3"/>
        <v/>
      </c>
      <c r="AF22" s="16" t="str">
        <f t="shared" si="3"/>
        <v/>
      </c>
      <c r="AG22" s="16" t="str">
        <f t="shared" si="3"/>
        <v/>
      </c>
      <c r="AH22" s="16" t="str">
        <f t="shared" si="3"/>
        <v/>
      </c>
      <c r="AI22" s="23" t="s">
        <v>18</v>
      </c>
      <c r="AJ22" s="31"/>
      <c r="AK22" s="123"/>
      <c r="AL22" s="44" t="str">
        <f t="shared" si="16"/>
        <v/>
      </c>
      <c r="AM22" s="19" t="str">
        <f t="shared" si="4"/>
        <v/>
      </c>
      <c r="AN22" s="19" t="str">
        <f t="shared" si="4"/>
        <v/>
      </c>
      <c r="AO22" s="19" t="str">
        <f t="shared" si="4"/>
        <v/>
      </c>
      <c r="AP22" s="19" t="str">
        <f t="shared" si="4"/>
        <v/>
      </c>
      <c r="AQ22" s="24" t="s">
        <v>18</v>
      </c>
      <c r="AR22" s="45"/>
      <c r="AS22" s="132"/>
      <c r="AT22" s="30" t="str">
        <f t="shared" si="17"/>
        <v/>
      </c>
      <c r="AU22" s="16" t="str">
        <f t="shared" si="5"/>
        <v/>
      </c>
      <c r="AV22" s="16" t="str">
        <f t="shared" si="5"/>
        <v/>
      </c>
      <c r="AW22" s="16" t="str">
        <f t="shared" si="5"/>
        <v/>
      </c>
      <c r="AX22" s="16" t="str">
        <f t="shared" si="5"/>
        <v/>
      </c>
      <c r="AY22" s="23" t="s">
        <v>18</v>
      </c>
      <c r="AZ22" s="31"/>
      <c r="BA22" s="123"/>
      <c r="BB22" s="44" t="str">
        <f t="shared" si="18"/>
        <v/>
      </c>
      <c r="BC22" s="19" t="str">
        <f t="shared" si="6"/>
        <v/>
      </c>
      <c r="BD22" s="19" t="str">
        <f t="shared" si="6"/>
        <v/>
      </c>
      <c r="BE22" s="19" t="str">
        <f t="shared" si="6"/>
        <v/>
      </c>
      <c r="BF22" s="19" t="str">
        <f t="shared" si="6"/>
        <v/>
      </c>
      <c r="BG22" s="24" t="s">
        <v>18</v>
      </c>
      <c r="BH22" s="45"/>
      <c r="BI22" s="132"/>
      <c r="BJ22" s="30" t="str">
        <f t="shared" si="19"/>
        <v/>
      </c>
      <c r="BK22" s="16" t="str">
        <f t="shared" si="7"/>
        <v/>
      </c>
      <c r="BL22" s="16" t="str">
        <f t="shared" si="7"/>
        <v/>
      </c>
      <c r="BM22" s="16" t="str">
        <f t="shared" si="7"/>
        <v/>
      </c>
      <c r="BN22" s="16" t="str">
        <f t="shared" si="7"/>
        <v/>
      </c>
      <c r="BO22" s="23" t="s">
        <v>18</v>
      </c>
      <c r="BP22" s="31"/>
      <c r="BQ22" s="123"/>
      <c r="BR22" s="44" t="str">
        <f t="shared" si="20"/>
        <v/>
      </c>
      <c r="BS22" s="19" t="str">
        <f t="shared" si="8"/>
        <v/>
      </c>
      <c r="BT22" s="19" t="str">
        <f t="shared" si="8"/>
        <v/>
      </c>
      <c r="BU22" s="19" t="str">
        <f t="shared" si="8"/>
        <v/>
      </c>
      <c r="BV22" s="19" t="str">
        <f t="shared" si="8"/>
        <v/>
      </c>
      <c r="BW22" s="24" t="s">
        <v>18</v>
      </c>
      <c r="BX22" s="45"/>
      <c r="BY22" s="132"/>
      <c r="BZ22" s="30" t="str">
        <f t="shared" si="21"/>
        <v/>
      </c>
      <c r="CA22" s="16" t="str">
        <f t="shared" si="9"/>
        <v/>
      </c>
      <c r="CB22" s="16" t="str">
        <f t="shared" si="9"/>
        <v/>
      </c>
      <c r="CC22" s="16" t="str">
        <f t="shared" si="9"/>
        <v/>
      </c>
      <c r="CD22" s="16" t="str">
        <f t="shared" si="9"/>
        <v/>
      </c>
      <c r="CE22" s="23" t="s">
        <v>18</v>
      </c>
      <c r="CF22" s="31"/>
      <c r="CG22" s="123"/>
      <c r="CH22" s="44" t="str">
        <f t="shared" si="22"/>
        <v/>
      </c>
      <c r="CI22" s="19" t="str">
        <f t="shared" si="10"/>
        <v/>
      </c>
      <c r="CJ22" s="19" t="str">
        <f t="shared" si="10"/>
        <v/>
      </c>
      <c r="CK22" s="19" t="str">
        <f t="shared" si="10"/>
        <v/>
      </c>
      <c r="CL22" s="19" t="str">
        <f t="shared" si="10"/>
        <v/>
      </c>
      <c r="CM22" s="24" t="s">
        <v>18</v>
      </c>
      <c r="CN22" s="45"/>
      <c r="CO22" s="132"/>
      <c r="CP22" s="30" t="str">
        <f t="shared" si="23"/>
        <v/>
      </c>
      <c r="CQ22" s="16" t="str">
        <f t="shared" si="11"/>
        <v/>
      </c>
      <c r="CR22" s="16" t="str">
        <f t="shared" si="11"/>
        <v/>
      </c>
      <c r="CS22" s="16" t="str">
        <f t="shared" si="11"/>
        <v/>
      </c>
      <c r="CT22" s="16" t="str">
        <f t="shared" si="11"/>
        <v/>
      </c>
      <c r="CU22" s="23" t="s">
        <v>18</v>
      </c>
      <c r="CV22" s="31"/>
      <c r="CW22" s="123"/>
      <c r="CX22" s="44" t="str">
        <f t="shared" si="24"/>
        <v/>
      </c>
      <c r="CY22" s="19" t="str">
        <f t="shared" si="12"/>
        <v/>
      </c>
      <c r="CZ22" s="19" t="str">
        <f t="shared" si="12"/>
        <v/>
      </c>
      <c r="DA22" s="19" t="str">
        <f t="shared" si="12"/>
        <v/>
      </c>
      <c r="DB22" s="19" t="str">
        <f t="shared" si="12"/>
        <v/>
      </c>
      <c r="DC22" s="24" t="s">
        <v>18</v>
      </c>
      <c r="DD22" s="45"/>
      <c r="DE22" s="132"/>
    </row>
    <row r="23" spans="1:109" s="15" customFormat="1" x14ac:dyDescent="0.25">
      <c r="A23" s="91"/>
      <c r="B23" s="88"/>
      <c r="C23" s="109" t="str">
        <f t="shared" ca="1" si="0"/>
        <v/>
      </c>
      <c r="D23" s="102" t="s">
        <v>15</v>
      </c>
      <c r="E23" s="140"/>
      <c r="F23" s="44"/>
      <c r="G23" s="19"/>
      <c r="H23" s="19"/>
      <c r="I23" s="19"/>
      <c r="J23" s="19"/>
      <c r="K23" s="24" t="s">
        <v>17</v>
      </c>
      <c r="L23" s="77"/>
      <c r="M23" s="132"/>
      <c r="N23" s="30" t="str">
        <f t="shared" si="13"/>
        <v/>
      </c>
      <c r="O23" s="16" t="str">
        <f t="shared" si="13"/>
        <v/>
      </c>
      <c r="P23" s="16" t="str">
        <f t="shared" si="13"/>
        <v/>
      </c>
      <c r="Q23" s="16" t="str">
        <f t="shared" si="13"/>
        <v/>
      </c>
      <c r="R23" s="16" t="str">
        <f t="shared" si="13"/>
        <v/>
      </c>
      <c r="S23" s="23" t="s">
        <v>17</v>
      </c>
      <c r="T23" s="31"/>
      <c r="U23" s="123"/>
      <c r="V23" s="44" t="str">
        <f t="shared" si="14"/>
        <v/>
      </c>
      <c r="W23" s="19" t="str">
        <f t="shared" si="2"/>
        <v/>
      </c>
      <c r="X23" s="19" t="str">
        <f t="shared" si="2"/>
        <v/>
      </c>
      <c r="Y23" s="19" t="str">
        <f t="shared" si="2"/>
        <v/>
      </c>
      <c r="Z23" s="19" t="str">
        <f t="shared" si="2"/>
        <v/>
      </c>
      <c r="AA23" s="24" t="s">
        <v>17</v>
      </c>
      <c r="AB23" s="45"/>
      <c r="AC23" s="132"/>
      <c r="AD23" s="30" t="str">
        <f t="shared" si="15"/>
        <v/>
      </c>
      <c r="AE23" s="16" t="str">
        <f t="shared" si="3"/>
        <v/>
      </c>
      <c r="AF23" s="16" t="str">
        <f t="shared" si="3"/>
        <v/>
      </c>
      <c r="AG23" s="16" t="str">
        <f t="shared" si="3"/>
        <v/>
      </c>
      <c r="AH23" s="16" t="str">
        <f t="shared" si="3"/>
        <v/>
      </c>
      <c r="AI23" s="23" t="s">
        <v>17</v>
      </c>
      <c r="AJ23" s="31"/>
      <c r="AK23" s="123"/>
      <c r="AL23" s="44" t="str">
        <f t="shared" si="16"/>
        <v/>
      </c>
      <c r="AM23" s="19" t="str">
        <f t="shared" si="4"/>
        <v/>
      </c>
      <c r="AN23" s="19" t="str">
        <f t="shared" si="4"/>
        <v/>
      </c>
      <c r="AO23" s="19" t="str">
        <f t="shared" si="4"/>
        <v/>
      </c>
      <c r="AP23" s="19" t="str">
        <f t="shared" si="4"/>
        <v/>
      </c>
      <c r="AQ23" s="24" t="s">
        <v>17</v>
      </c>
      <c r="AR23" s="45"/>
      <c r="AS23" s="132"/>
      <c r="AT23" s="30" t="str">
        <f t="shared" si="17"/>
        <v/>
      </c>
      <c r="AU23" s="16" t="str">
        <f t="shared" si="5"/>
        <v/>
      </c>
      <c r="AV23" s="16" t="str">
        <f t="shared" si="5"/>
        <v/>
      </c>
      <c r="AW23" s="16" t="str">
        <f t="shared" si="5"/>
        <v/>
      </c>
      <c r="AX23" s="16" t="str">
        <f t="shared" si="5"/>
        <v/>
      </c>
      <c r="AY23" s="23" t="s">
        <v>17</v>
      </c>
      <c r="AZ23" s="31"/>
      <c r="BA23" s="123"/>
      <c r="BB23" s="44" t="str">
        <f t="shared" si="18"/>
        <v/>
      </c>
      <c r="BC23" s="19" t="str">
        <f t="shared" si="6"/>
        <v/>
      </c>
      <c r="BD23" s="19" t="str">
        <f t="shared" si="6"/>
        <v/>
      </c>
      <c r="BE23" s="19" t="str">
        <f t="shared" si="6"/>
        <v/>
      </c>
      <c r="BF23" s="19" t="str">
        <f t="shared" si="6"/>
        <v/>
      </c>
      <c r="BG23" s="24" t="s">
        <v>17</v>
      </c>
      <c r="BH23" s="45"/>
      <c r="BI23" s="132"/>
      <c r="BJ23" s="30" t="str">
        <f t="shared" si="19"/>
        <v/>
      </c>
      <c r="BK23" s="16" t="str">
        <f t="shared" si="7"/>
        <v/>
      </c>
      <c r="BL23" s="16" t="str">
        <f t="shared" si="7"/>
        <v/>
      </c>
      <c r="BM23" s="16" t="str">
        <f t="shared" si="7"/>
        <v/>
      </c>
      <c r="BN23" s="16" t="str">
        <f t="shared" si="7"/>
        <v/>
      </c>
      <c r="BO23" s="23" t="s">
        <v>17</v>
      </c>
      <c r="BP23" s="31"/>
      <c r="BQ23" s="123"/>
      <c r="BR23" s="44" t="str">
        <f t="shared" si="20"/>
        <v/>
      </c>
      <c r="BS23" s="19" t="str">
        <f t="shared" si="8"/>
        <v/>
      </c>
      <c r="BT23" s="19" t="str">
        <f t="shared" si="8"/>
        <v/>
      </c>
      <c r="BU23" s="19" t="str">
        <f t="shared" si="8"/>
        <v/>
      </c>
      <c r="BV23" s="19" t="str">
        <f t="shared" si="8"/>
        <v/>
      </c>
      <c r="BW23" s="24" t="s">
        <v>17</v>
      </c>
      <c r="BX23" s="45"/>
      <c r="BY23" s="132"/>
      <c r="BZ23" s="30" t="str">
        <f t="shared" si="21"/>
        <v/>
      </c>
      <c r="CA23" s="16" t="str">
        <f t="shared" si="9"/>
        <v/>
      </c>
      <c r="CB23" s="16" t="str">
        <f t="shared" si="9"/>
        <v/>
      </c>
      <c r="CC23" s="16" t="str">
        <f t="shared" si="9"/>
        <v/>
      </c>
      <c r="CD23" s="16" t="str">
        <f t="shared" si="9"/>
        <v/>
      </c>
      <c r="CE23" s="23" t="s">
        <v>17</v>
      </c>
      <c r="CF23" s="31"/>
      <c r="CG23" s="123"/>
      <c r="CH23" s="44" t="str">
        <f t="shared" si="22"/>
        <v/>
      </c>
      <c r="CI23" s="19" t="str">
        <f t="shared" si="10"/>
        <v/>
      </c>
      <c r="CJ23" s="19" t="str">
        <f t="shared" si="10"/>
        <v/>
      </c>
      <c r="CK23" s="19" t="str">
        <f t="shared" si="10"/>
        <v/>
      </c>
      <c r="CL23" s="19" t="str">
        <f t="shared" si="10"/>
        <v/>
      </c>
      <c r="CM23" s="24" t="s">
        <v>17</v>
      </c>
      <c r="CN23" s="45"/>
      <c r="CO23" s="132"/>
      <c r="CP23" s="30" t="str">
        <f t="shared" si="23"/>
        <v/>
      </c>
      <c r="CQ23" s="16" t="str">
        <f t="shared" si="11"/>
        <v/>
      </c>
      <c r="CR23" s="16" t="str">
        <f t="shared" si="11"/>
        <v/>
      </c>
      <c r="CS23" s="16" t="str">
        <f t="shared" si="11"/>
        <v/>
      </c>
      <c r="CT23" s="16" t="str">
        <f t="shared" si="11"/>
        <v/>
      </c>
      <c r="CU23" s="23" t="s">
        <v>17</v>
      </c>
      <c r="CV23" s="31"/>
      <c r="CW23" s="123"/>
      <c r="CX23" s="44" t="str">
        <f t="shared" si="24"/>
        <v/>
      </c>
      <c r="CY23" s="19" t="str">
        <f t="shared" si="12"/>
        <v/>
      </c>
      <c r="CZ23" s="19" t="str">
        <f t="shared" si="12"/>
        <v/>
      </c>
      <c r="DA23" s="19" t="str">
        <f t="shared" si="12"/>
        <v/>
      </c>
      <c r="DB23" s="19" t="str">
        <f t="shared" si="12"/>
        <v/>
      </c>
      <c r="DC23" s="24" t="s">
        <v>17</v>
      </c>
      <c r="DD23" s="45"/>
      <c r="DE23" s="132"/>
    </row>
    <row r="24" spans="1:109" s="15" customFormat="1" x14ac:dyDescent="0.25">
      <c r="A24" s="91"/>
      <c r="B24" s="88"/>
      <c r="C24" s="109" t="str">
        <f t="shared" ca="1" si="0"/>
        <v/>
      </c>
      <c r="D24" s="102" t="s">
        <v>15</v>
      </c>
      <c r="E24" s="140"/>
      <c r="F24" s="44"/>
      <c r="G24" s="19"/>
      <c r="H24" s="19"/>
      <c r="I24" s="19"/>
      <c r="J24" s="19"/>
      <c r="K24" s="24" t="s">
        <v>17</v>
      </c>
      <c r="L24" s="77"/>
      <c r="M24" s="132"/>
      <c r="N24" s="30" t="str">
        <f t="shared" si="13"/>
        <v/>
      </c>
      <c r="O24" s="16" t="str">
        <f t="shared" si="13"/>
        <v/>
      </c>
      <c r="P24" s="16" t="str">
        <f t="shared" si="13"/>
        <v/>
      </c>
      <c r="Q24" s="16" t="str">
        <f t="shared" si="13"/>
        <v/>
      </c>
      <c r="R24" s="16" t="str">
        <f t="shared" si="13"/>
        <v/>
      </c>
      <c r="S24" s="23" t="s">
        <v>17</v>
      </c>
      <c r="T24" s="31"/>
      <c r="U24" s="123"/>
      <c r="V24" s="44" t="str">
        <f t="shared" si="14"/>
        <v/>
      </c>
      <c r="W24" s="19" t="str">
        <f t="shared" si="2"/>
        <v/>
      </c>
      <c r="X24" s="19" t="str">
        <f t="shared" si="2"/>
        <v/>
      </c>
      <c r="Y24" s="19" t="str">
        <f t="shared" si="2"/>
        <v/>
      </c>
      <c r="Z24" s="19" t="str">
        <f t="shared" si="2"/>
        <v/>
      </c>
      <c r="AA24" s="24" t="s">
        <v>17</v>
      </c>
      <c r="AB24" s="45"/>
      <c r="AC24" s="132"/>
      <c r="AD24" s="30" t="str">
        <f t="shared" si="15"/>
        <v/>
      </c>
      <c r="AE24" s="16" t="str">
        <f t="shared" si="3"/>
        <v/>
      </c>
      <c r="AF24" s="16" t="str">
        <f t="shared" si="3"/>
        <v/>
      </c>
      <c r="AG24" s="16" t="str">
        <f t="shared" si="3"/>
        <v/>
      </c>
      <c r="AH24" s="16" t="str">
        <f t="shared" si="3"/>
        <v/>
      </c>
      <c r="AI24" s="23" t="s">
        <v>17</v>
      </c>
      <c r="AJ24" s="31"/>
      <c r="AK24" s="123"/>
      <c r="AL24" s="44" t="str">
        <f t="shared" si="16"/>
        <v/>
      </c>
      <c r="AM24" s="19" t="str">
        <f t="shared" si="4"/>
        <v/>
      </c>
      <c r="AN24" s="19" t="str">
        <f t="shared" si="4"/>
        <v/>
      </c>
      <c r="AO24" s="19" t="str">
        <f t="shared" si="4"/>
        <v/>
      </c>
      <c r="AP24" s="19" t="str">
        <f t="shared" si="4"/>
        <v/>
      </c>
      <c r="AQ24" s="24" t="s">
        <v>17</v>
      </c>
      <c r="AR24" s="45"/>
      <c r="AS24" s="132"/>
      <c r="AT24" s="30" t="str">
        <f t="shared" si="17"/>
        <v/>
      </c>
      <c r="AU24" s="16" t="str">
        <f t="shared" si="5"/>
        <v/>
      </c>
      <c r="AV24" s="16" t="str">
        <f t="shared" si="5"/>
        <v/>
      </c>
      <c r="AW24" s="16" t="str">
        <f t="shared" si="5"/>
        <v/>
      </c>
      <c r="AX24" s="16" t="str">
        <f t="shared" si="5"/>
        <v/>
      </c>
      <c r="AY24" s="23" t="s">
        <v>17</v>
      </c>
      <c r="AZ24" s="31"/>
      <c r="BA24" s="123"/>
      <c r="BB24" s="44" t="str">
        <f t="shared" si="18"/>
        <v/>
      </c>
      <c r="BC24" s="19" t="str">
        <f t="shared" si="6"/>
        <v/>
      </c>
      <c r="BD24" s="19" t="str">
        <f t="shared" si="6"/>
        <v/>
      </c>
      <c r="BE24" s="19" t="str">
        <f t="shared" si="6"/>
        <v/>
      </c>
      <c r="BF24" s="19" t="str">
        <f t="shared" si="6"/>
        <v/>
      </c>
      <c r="BG24" s="24" t="s">
        <v>17</v>
      </c>
      <c r="BH24" s="45"/>
      <c r="BI24" s="132"/>
      <c r="BJ24" s="30" t="str">
        <f t="shared" si="19"/>
        <v/>
      </c>
      <c r="BK24" s="16" t="str">
        <f t="shared" si="7"/>
        <v/>
      </c>
      <c r="BL24" s="16" t="str">
        <f t="shared" si="7"/>
        <v/>
      </c>
      <c r="BM24" s="16" t="str">
        <f t="shared" si="7"/>
        <v/>
      </c>
      <c r="BN24" s="16" t="str">
        <f t="shared" si="7"/>
        <v/>
      </c>
      <c r="BO24" s="23" t="s">
        <v>17</v>
      </c>
      <c r="BP24" s="31"/>
      <c r="BQ24" s="123"/>
      <c r="BR24" s="44" t="str">
        <f t="shared" si="20"/>
        <v/>
      </c>
      <c r="BS24" s="19" t="str">
        <f t="shared" si="8"/>
        <v/>
      </c>
      <c r="BT24" s="19" t="str">
        <f t="shared" si="8"/>
        <v/>
      </c>
      <c r="BU24" s="19" t="str">
        <f t="shared" si="8"/>
        <v/>
      </c>
      <c r="BV24" s="19" t="str">
        <f t="shared" si="8"/>
        <v/>
      </c>
      <c r="BW24" s="24" t="s">
        <v>17</v>
      </c>
      <c r="BX24" s="45"/>
      <c r="BY24" s="132"/>
      <c r="BZ24" s="30" t="str">
        <f t="shared" si="21"/>
        <v/>
      </c>
      <c r="CA24" s="16" t="str">
        <f t="shared" si="9"/>
        <v/>
      </c>
      <c r="CB24" s="16" t="str">
        <f t="shared" si="9"/>
        <v/>
      </c>
      <c r="CC24" s="16" t="str">
        <f t="shared" si="9"/>
        <v/>
      </c>
      <c r="CD24" s="16" t="str">
        <f t="shared" si="9"/>
        <v/>
      </c>
      <c r="CE24" s="23" t="s">
        <v>17</v>
      </c>
      <c r="CF24" s="31"/>
      <c r="CG24" s="123"/>
      <c r="CH24" s="44" t="str">
        <f t="shared" si="22"/>
        <v/>
      </c>
      <c r="CI24" s="19" t="str">
        <f t="shared" si="10"/>
        <v/>
      </c>
      <c r="CJ24" s="19" t="str">
        <f t="shared" si="10"/>
        <v/>
      </c>
      <c r="CK24" s="19" t="str">
        <f t="shared" si="10"/>
        <v/>
      </c>
      <c r="CL24" s="19" t="str">
        <f t="shared" si="10"/>
        <v/>
      </c>
      <c r="CM24" s="24" t="s">
        <v>17</v>
      </c>
      <c r="CN24" s="45"/>
      <c r="CO24" s="132"/>
      <c r="CP24" s="30" t="str">
        <f t="shared" si="23"/>
        <v/>
      </c>
      <c r="CQ24" s="16" t="str">
        <f t="shared" si="11"/>
        <v/>
      </c>
      <c r="CR24" s="16" t="str">
        <f t="shared" si="11"/>
        <v/>
      </c>
      <c r="CS24" s="16" t="str">
        <f t="shared" si="11"/>
        <v/>
      </c>
      <c r="CT24" s="16" t="str">
        <f t="shared" si="11"/>
        <v/>
      </c>
      <c r="CU24" s="23" t="s">
        <v>17</v>
      </c>
      <c r="CV24" s="31"/>
      <c r="CW24" s="123"/>
      <c r="CX24" s="44" t="str">
        <f t="shared" si="24"/>
        <v/>
      </c>
      <c r="CY24" s="19" t="str">
        <f t="shared" si="12"/>
        <v/>
      </c>
      <c r="CZ24" s="19" t="str">
        <f t="shared" si="12"/>
        <v/>
      </c>
      <c r="DA24" s="19" t="str">
        <f t="shared" si="12"/>
        <v/>
      </c>
      <c r="DB24" s="19" t="str">
        <f t="shared" si="12"/>
        <v/>
      </c>
      <c r="DC24" s="24" t="s">
        <v>17</v>
      </c>
      <c r="DD24" s="45"/>
      <c r="DE24" s="132"/>
    </row>
    <row r="25" spans="1:109" s="15" customFormat="1" x14ac:dyDescent="0.25">
      <c r="A25" s="92"/>
      <c r="B25" s="113"/>
      <c r="C25" s="109" t="str">
        <f t="shared" ca="1" si="0"/>
        <v/>
      </c>
      <c r="D25" s="102" t="s">
        <v>15</v>
      </c>
      <c r="E25" s="140"/>
      <c r="F25" s="44"/>
      <c r="G25" s="19"/>
      <c r="H25" s="19"/>
      <c r="I25" s="19"/>
      <c r="J25" s="19"/>
      <c r="K25" s="24" t="s">
        <v>17</v>
      </c>
      <c r="L25" s="77"/>
      <c r="M25" s="132"/>
      <c r="N25" s="30" t="str">
        <f t="shared" si="13"/>
        <v/>
      </c>
      <c r="O25" s="16" t="str">
        <f t="shared" si="13"/>
        <v/>
      </c>
      <c r="P25" s="16" t="str">
        <f t="shared" si="13"/>
        <v/>
      </c>
      <c r="Q25" s="16" t="str">
        <f t="shared" si="13"/>
        <v/>
      </c>
      <c r="R25" s="16" t="str">
        <f t="shared" si="13"/>
        <v/>
      </c>
      <c r="S25" s="23" t="s">
        <v>17</v>
      </c>
      <c r="T25" s="31"/>
      <c r="U25" s="123"/>
      <c r="V25" s="44" t="str">
        <f t="shared" si="14"/>
        <v/>
      </c>
      <c r="W25" s="19" t="str">
        <f t="shared" si="2"/>
        <v/>
      </c>
      <c r="X25" s="19" t="str">
        <f t="shared" si="2"/>
        <v/>
      </c>
      <c r="Y25" s="19" t="str">
        <f t="shared" si="2"/>
        <v/>
      </c>
      <c r="Z25" s="19" t="str">
        <f t="shared" si="2"/>
        <v/>
      </c>
      <c r="AA25" s="24" t="s">
        <v>17</v>
      </c>
      <c r="AB25" s="45"/>
      <c r="AC25" s="132"/>
      <c r="AD25" s="30" t="str">
        <f t="shared" si="15"/>
        <v/>
      </c>
      <c r="AE25" s="16" t="str">
        <f t="shared" si="3"/>
        <v/>
      </c>
      <c r="AF25" s="16" t="str">
        <f t="shared" si="3"/>
        <v/>
      </c>
      <c r="AG25" s="16" t="str">
        <f t="shared" si="3"/>
        <v/>
      </c>
      <c r="AH25" s="16" t="str">
        <f t="shared" si="3"/>
        <v/>
      </c>
      <c r="AI25" s="23" t="s">
        <v>17</v>
      </c>
      <c r="AJ25" s="31"/>
      <c r="AK25" s="123"/>
      <c r="AL25" s="44" t="str">
        <f t="shared" si="16"/>
        <v/>
      </c>
      <c r="AM25" s="19" t="str">
        <f t="shared" si="4"/>
        <v/>
      </c>
      <c r="AN25" s="19" t="str">
        <f t="shared" si="4"/>
        <v/>
      </c>
      <c r="AO25" s="19" t="str">
        <f t="shared" si="4"/>
        <v/>
      </c>
      <c r="AP25" s="19" t="str">
        <f t="shared" si="4"/>
        <v/>
      </c>
      <c r="AQ25" s="24" t="s">
        <v>17</v>
      </c>
      <c r="AR25" s="45"/>
      <c r="AS25" s="132"/>
      <c r="AT25" s="30" t="str">
        <f t="shared" si="17"/>
        <v/>
      </c>
      <c r="AU25" s="16" t="str">
        <f t="shared" si="5"/>
        <v/>
      </c>
      <c r="AV25" s="16" t="str">
        <f t="shared" si="5"/>
        <v/>
      </c>
      <c r="AW25" s="16" t="str">
        <f t="shared" si="5"/>
        <v/>
      </c>
      <c r="AX25" s="16" t="str">
        <f t="shared" si="5"/>
        <v/>
      </c>
      <c r="AY25" s="23" t="s">
        <v>17</v>
      </c>
      <c r="AZ25" s="31"/>
      <c r="BA25" s="123"/>
      <c r="BB25" s="44" t="str">
        <f t="shared" si="18"/>
        <v/>
      </c>
      <c r="BC25" s="19" t="str">
        <f t="shared" si="6"/>
        <v/>
      </c>
      <c r="BD25" s="19" t="str">
        <f t="shared" si="6"/>
        <v/>
      </c>
      <c r="BE25" s="19" t="str">
        <f t="shared" si="6"/>
        <v/>
      </c>
      <c r="BF25" s="19" t="str">
        <f t="shared" si="6"/>
        <v/>
      </c>
      <c r="BG25" s="24" t="s">
        <v>17</v>
      </c>
      <c r="BH25" s="45"/>
      <c r="BI25" s="132"/>
      <c r="BJ25" s="30" t="str">
        <f t="shared" si="19"/>
        <v/>
      </c>
      <c r="BK25" s="16" t="str">
        <f t="shared" si="7"/>
        <v/>
      </c>
      <c r="BL25" s="16" t="str">
        <f t="shared" si="7"/>
        <v/>
      </c>
      <c r="BM25" s="16" t="str">
        <f t="shared" si="7"/>
        <v/>
      </c>
      <c r="BN25" s="16" t="str">
        <f t="shared" si="7"/>
        <v/>
      </c>
      <c r="BO25" s="23" t="s">
        <v>17</v>
      </c>
      <c r="BP25" s="31"/>
      <c r="BQ25" s="123"/>
      <c r="BR25" s="44" t="str">
        <f t="shared" si="20"/>
        <v/>
      </c>
      <c r="BS25" s="19" t="str">
        <f t="shared" si="8"/>
        <v/>
      </c>
      <c r="BT25" s="19" t="str">
        <f t="shared" si="8"/>
        <v/>
      </c>
      <c r="BU25" s="19" t="str">
        <f t="shared" si="8"/>
        <v/>
      </c>
      <c r="BV25" s="19" t="str">
        <f t="shared" si="8"/>
        <v/>
      </c>
      <c r="BW25" s="24" t="s">
        <v>17</v>
      </c>
      <c r="BX25" s="45"/>
      <c r="BY25" s="132"/>
      <c r="BZ25" s="30" t="str">
        <f t="shared" si="21"/>
        <v/>
      </c>
      <c r="CA25" s="16" t="str">
        <f t="shared" si="9"/>
        <v/>
      </c>
      <c r="CB25" s="16" t="str">
        <f t="shared" si="9"/>
        <v/>
      </c>
      <c r="CC25" s="16" t="str">
        <f t="shared" si="9"/>
        <v/>
      </c>
      <c r="CD25" s="16" t="str">
        <f t="shared" si="9"/>
        <v/>
      </c>
      <c r="CE25" s="23" t="s">
        <v>17</v>
      </c>
      <c r="CF25" s="31"/>
      <c r="CG25" s="123"/>
      <c r="CH25" s="44" t="str">
        <f t="shared" si="22"/>
        <v/>
      </c>
      <c r="CI25" s="19" t="str">
        <f t="shared" si="10"/>
        <v/>
      </c>
      <c r="CJ25" s="19" t="str">
        <f t="shared" si="10"/>
        <v/>
      </c>
      <c r="CK25" s="19" t="str">
        <f t="shared" si="10"/>
        <v/>
      </c>
      <c r="CL25" s="19" t="str">
        <f t="shared" si="10"/>
        <v/>
      </c>
      <c r="CM25" s="24" t="s">
        <v>17</v>
      </c>
      <c r="CN25" s="45"/>
      <c r="CO25" s="132"/>
      <c r="CP25" s="30" t="str">
        <f t="shared" si="23"/>
        <v/>
      </c>
      <c r="CQ25" s="16" t="str">
        <f t="shared" si="11"/>
        <v/>
      </c>
      <c r="CR25" s="16" t="str">
        <f t="shared" si="11"/>
        <v/>
      </c>
      <c r="CS25" s="16" t="str">
        <f t="shared" si="11"/>
        <v/>
      </c>
      <c r="CT25" s="16" t="str">
        <f t="shared" si="11"/>
        <v/>
      </c>
      <c r="CU25" s="23" t="s">
        <v>17</v>
      </c>
      <c r="CV25" s="31"/>
      <c r="CW25" s="123"/>
      <c r="CX25" s="44" t="str">
        <f t="shared" si="24"/>
        <v/>
      </c>
      <c r="CY25" s="19" t="str">
        <f t="shared" si="12"/>
        <v/>
      </c>
      <c r="CZ25" s="19" t="str">
        <f t="shared" si="12"/>
        <v/>
      </c>
      <c r="DA25" s="19" t="str">
        <f t="shared" si="12"/>
        <v/>
      </c>
      <c r="DB25" s="19" t="str">
        <f t="shared" si="12"/>
        <v/>
      </c>
      <c r="DC25" s="24" t="s">
        <v>17</v>
      </c>
      <c r="DD25" s="45"/>
      <c r="DE25" s="132"/>
    </row>
    <row r="26" spans="1:109" s="15" customFormat="1" x14ac:dyDescent="0.25">
      <c r="A26" s="91"/>
      <c r="B26" s="88"/>
      <c r="C26" s="109" t="str">
        <f t="shared" ca="1" si="0"/>
        <v/>
      </c>
      <c r="D26" s="102" t="s">
        <v>15</v>
      </c>
      <c r="E26" s="140"/>
      <c r="F26" s="75"/>
      <c r="G26" s="19"/>
      <c r="H26" s="76"/>
      <c r="I26" s="19"/>
      <c r="J26" s="76"/>
      <c r="K26" s="24" t="s">
        <v>18</v>
      </c>
      <c r="L26" s="77"/>
      <c r="M26" s="132"/>
      <c r="N26" s="30" t="str">
        <f t="shared" si="13"/>
        <v/>
      </c>
      <c r="O26" s="16" t="str">
        <f t="shared" si="13"/>
        <v/>
      </c>
      <c r="P26" s="16" t="str">
        <f t="shared" si="13"/>
        <v/>
      </c>
      <c r="Q26" s="16" t="str">
        <f t="shared" si="13"/>
        <v/>
      </c>
      <c r="R26" s="16" t="str">
        <f t="shared" si="13"/>
        <v/>
      </c>
      <c r="S26" s="23" t="s">
        <v>18</v>
      </c>
      <c r="T26" s="31"/>
      <c r="U26" s="123"/>
      <c r="V26" s="44" t="str">
        <f t="shared" si="14"/>
        <v/>
      </c>
      <c r="W26" s="19" t="str">
        <f t="shared" si="2"/>
        <v/>
      </c>
      <c r="X26" s="19" t="str">
        <f t="shared" si="2"/>
        <v/>
      </c>
      <c r="Y26" s="19" t="str">
        <f t="shared" si="2"/>
        <v/>
      </c>
      <c r="Z26" s="19" t="str">
        <f t="shared" si="2"/>
        <v/>
      </c>
      <c r="AA26" s="24" t="s">
        <v>18</v>
      </c>
      <c r="AB26" s="45"/>
      <c r="AC26" s="132"/>
      <c r="AD26" s="30" t="str">
        <f t="shared" si="15"/>
        <v/>
      </c>
      <c r="AE26" s="16" t="str">
        <f t="shared" si="3"/>
        <v/>
      </c>
      <c r="AF26" s="16" t="str">
        <f t="shared" si="3"/>
        <v/>
      </c>
      <c r="AG26" s="16" t="str">
        <f t="shared" si="3"/>
        <v/>
      </c>
      <c r="AH26" s="16" t="str">
        <f t="shared" si="3"/>
        <v/>
      </c>
      <c r="AI26" s="23" t="s">
        <v>18</v>
      </c>
      <c r="AJ26" s="31"/>
      <c r="AK26" s="123"/>
      <c r="AL26" s="44" t="str">
        <f t="shared" si="16"/>
        <v/>
      </c>
      <c r="AM26" s="19" t="str">
        <f t="shared" si="4"/>
        <v/>
      </c>
      <c r="AN26" s="19" t="str">
        <f t="shared" si="4"/>
        <v/>
      </c>
      <c r="AO26" s="19" t="str">
        <f t="shared" si="4"/>
        <v/>
      </c>
      <c r="AP26" s="19" t="str">
        <f t="shared" si="4"/>
        <v/>
      </c>
      <c r="AQ26" s="24" t="s">
        <v>18</v>
      </c>
      <c r="AR26" s="45"/>
      <c r="AS26" s="132"/>
      <c r="AT26" s="30" t="str">
        <f t="shared" si="17"/>
        <v/>
      </c>
      <c r="AU26" s="16" t="str">
        <f t="shared" si="5"/>
        <v/>
      </c>
      <c r="AV26" s="16" t="str">
        <f t="shared" si="5"/>
        <v/>
      </c>
      <c r="AW26" s="16" t="str">
        <f t="shared" si="5"/>
        <v/>
      </c>
      <c r="AX26" s="16" t="str">
        <f t="shared" si="5"/>
        <v/>
      </c>
      <c r="AY26" s="23" t="s">
        <v>18</v>
      </c>
      <c r="AZ26" s="31"/>
      <c r="BA26" s="123"/>
      <c r="BB26" s="44" t="str">
        <f t="shared" si="18"/>
        <v/>
      </c>
      <c r="BC26" s="19" t="str">
        <f t="shared" si="6"/>
        <v/>
      </c>
      <c r="BD26" s="19" t="str">
        <f t="shared" si="6"/>
        <v/>
      </c>
      <c r="BE26" s="19" t="str">
        <f t="shared" si="6"/>
        <v/>
      </c>
      <c r="BF26" s="19" t="str">
        <f t="shared" si="6"/>
        <v/>
      </c>
      <c r="BG26" s="24" t="s">
        <v>18</v>
      </c>
      <c r="BH26" s="45"/>
      <c r="BI26" s="132"/>
      <c r="BJ26" s="30" t="str">
        <f t="shared" si="19"/>
        <v/>
      </c>
      <c r="BK26" s="16" t="str">
        <f t="shared" si="7"/>
        <v/>
      </c>
      <c r="BL26" s="16" t="str">
        <f t="shared" si="7"/>
        <v/>
      </c>
      <c r="BM26" s="16" t="str">
        <f t="shared" si="7"/>
        <v/>
      </c>
      <c r="BN26" s="16" t="str">
        <f t="shared" si="7"/>
        <v/>
      </c>
      <c r="BO26" s="23" t="s">
        <v>18</v>
      </c>
      <c r="BP26" s="31"/>
      <c r="BQ26" s="123"/>
      <c r="BR26" s="44" t="str">
        <f t="shared" si="20"/>
        <v/>
      </c>
      <c r="BS26" s="19" t="str">
        <f t="shared" si="8"/>
        <v/>
      </c>
      <c r="BT26" s="19" t="str">
        <f t="shared" si="8"/>
        <v/>
      </c>
      <c r="BU26" s="19" t="str">
        <f t="shared" si="8"/>
        <v/>
      </c>
      <c r="BV26" s="19" t="str">
        <f t="shared" si="8"/>
        <v/>
      </c>
      <c r="BW26" s="24" t="s">
        <v>18</v>
      </c>
      <c r="BX26" s="45"/>
      <c r="BY26" s="132"/>
      <c r="BZ26" s="30" t="str">
        <f t="shared" si="21"/>
        <v/>
      </c>
      <c r="CA26" s="16" t="str">
        <f t="shared" si="9"/>
        <v/>
      </c>
      <c r="CB26" s="16" t="str">
        <f t="shared" si="9"/>
        <v/>
      </c>
      <c r="CC26" s="16" t="str">
        <f t="shared" si="9"/>
        <v/>
      </c>
      <c r="CD26" s="16" t="str">
        <f t="shared" si="9"/>
        <v/>
      </c>
      <c r="CE26" s="23" t="s">
        <v>18</v>
      </c>
      <c r="CF26" s="31"/>
      <c r="CG26" s="123"/>
      <c r="CH26" s="44" t="str">
        <f t="shared" si="22"/>
        <v/>
      </c>
      <c r="CI26" s="19" t="str">
        <f t="shared" si="10"/>
        <v/>
      </c>
      <c r="CJ26" s="19" t="str">
        <f t="shared" si="10"/>
        <v/>
      </c>
      <c r="CK26" s="19" t="str">
        <f t="shared" si="10"/>
        <v/>
      </c>
      <c r="CL26" s="19" t="str">
        <f t="shared" si="10"/>
        <v/>
      </c>
      <c r="CM26" s="24" t="s">
        <v>18</v>
      </c>
      <c r="CN26" s="45"/>
      <c r="CO26" s="132"/>
      <c r="CP26" s="30" t="str">
        <f t="shared" si="23"/>
        <v/>
      </c>
      <c r="CQ26" s="16" t="str">
        <f t="shared" si="11"/>
        <v/>
      </c>
      <c r="CR26" s="16" t="str">
        <f t="shared" si="11"/>
        <v/>
      </c>
      <c r="CS26" s="16" t="str">
        <f t="shared" si="11"/>
        <v/>
      </c>
      <c r="CT26" s="16" t="str">
        <f t="shared" si="11"/>
        <v/>
      </c>
      <c r="CU26" s="23" t="s">
        <v>18</v>
      </c>
      <c r="CV26" s="31"/>
      <c r="CW26" s="123"/>
      <c r="CX26" s="44" t="str">
        <f t="shared" si="24"/>
        <v/>
      </c>
      <c r="CY26" s="19" t="str">
        <f t="shared" si="12"/>
        <v/>
      </c>
      <c r="CZ26" s="19" t="str">
        <f t="shared" si="12"/>
        <v/>
      </c>
      <c r="DA26" s="19" t="str">
        <f t="shared" si="12"/>
        <v/>
      </c>
      <c r="DB26" s="19" t="str">
        <f t="shared" si="12"/>
        <v/>
      </c>
      <c r="DC26" s="24" t="s">
        <v>18</v>
      </c>
      <c r="DD26" s="45"/>
      <c r="DE26" s="132"/>
    </row>
    <row r="27" spans="1:109" s="15" customFormat="1" x14ac:dyDescent="0.25">
      <c r="A27" s="91"/>
      <c r="B27" s="88"/>
      <c r="C27" s="109" t="str">
        <f t="shared" ca="1" si="0"/>
        <v/>
      </c>
      <c r="D27" s="102" t="s">
        <v>15</v>
      </c>
      <c r="E27" s="140"/>
      <c r="F27" s="44"/>
      <c r="G27" s="19"/>
      <c r="H27" s="19"/>
      <c r="I27" s="19"/>
      <c r="J27" s="19"/>
      <c r="K27" s="24" t="s">
        <v>18</v>
      </c>
      <c r="L27" s="77"/>
      <c r="M27" s="132"/>
      <c r="N27" s="30" t="str">
        <f t="shared" si="13"/>
        <v/>
      </c>
      <c r="O27" s="16" t="str">
        <f t="shared" si="13"/>
        <v/>
      </c>
      <c r="P27" s="16" t="str">
        <f t="shared" si="13"/>
        <v/>
      </c>
      <c r="Q27" s="16" t="str">
        <f t="shared" si="13"/>
        <v/>
      </c>
      <c r="R27" s="16" t="str">
        <f t="shared" si="13"/>
        <v/>
      </c>
      <c r="S27" s="23" t="s">
        <v>18</v>
      </c>
      <c r="T27" s="31"/>
      <c r="U27" s="123"/>
      <c r="V27" s="44" t="str">
        <f t="shared" si="14"/>
        <v/>
      </c>
      <c r="W27" s="19" t="str">
        <f t="shared" si="2"/>
        <v/>
      </c>
      <c r="X27" s="19" t="str">
        <f t="shared" si="2"/>
        <v/>
      </c>
      <c r="Y27" s="19" t="str">
        <f t="shared" si="2"/>
        <v/>
      </c>
      <c r="Z27" s="19" t="str">
        <f t="shared" si="2"/>
        <v/>
      </c>
      <c r="AA27" s="24" t="s">
        <v>18</v>
      </c>
      <c r="AB27" s="45"/>
      <c r="AC27" s="132"/>
      <c r="AD27" s="30" t="str">
        <f t="shared" si="15"/>
        <v/>
      </c>
      <c r="AE27" s="16" t="str">
        <f t="shared" si="3"/>
        <v/>
      </c>
      <c r="AF27" s="16" t="str">
        <f t="shared" si="3"/>
        <v/>
      </c>
      <c r="AG27" s="16" t="str">
        <f t="shared" si="3"/>
        <v/>
      </c>
      <c r="AH27" s="16" t="str">
        <f t="shared" si="3"/>
        <v/>
      </c>
      <c r="AI27" s="23" t="s">
        <v>18</v>
      </c>
      <c r="AJ27" s="31"/>
      <c r="AK27" s="123"/>
      <c r="AL27" s="44" t="str">
        <f t="shared" si="16"/>
        <v/>
      </c>
      <c r="AM27" s="19" t="str">
        <f t="shared" si="4"/>
        <v/>
      </c>
      <c r="AN27" s="19" t="str">
        <f t="shared" si="4"/>
        <v/>
      </c>
      <c r="AO27" s="19" t="str">
        <f t="shared" si="4"/>
        <v/>
      </c>
      <c r="AP27" s="19" t="str">
        <f t="shared" si="4"/>
        <v/>
      </c>
      <c r="AQ27" s="24" t="s">
        <v>18</v>
      </c>
      <c r="AR27" s="45"/>
      <c r="AS27" s="132"/>
      <c r="AT27" s="30" t="str">
        <f t="shared" si="17"/>
        <v/>
      </c>
      <c r="AU27" s="16" t="str">
        <f t="shared" si="5"/>
        <v/>
      </c>
      <c r="AV27" s="16" t="str">
        <f t="shared" si="5"/>
        <v/>
      </c>
      <c r="AW27" s="16" t="str">
        <f t="shared" si="5"/>
        <v/>
      </c>
      <c r="AX27" s="16" t="str">
        <f t="shared" si="5"/>
        <v/>
      </c>
      <c r="AY27" s="23" t="s">
        <v>18</v>
      </c>
      <c r="AZ27" s="31"/>
      <c r="BA27" s="123"/>
      <c r="BB27" s="44" t="str">
        <f t="shared" si="18"/>
        <v/>
      </c>
      <c r="BC27" s="19" t="str">
        <f t="shared" si="6"/>
        <v/>
      </c>
      <c r="BD27" s="19" t="str">
        <f t="shared" si="6"/>
        <v/>
      </c>
      <c r="BE27" s="19" t="str">
        <f t="shared" si="6"/>
        <v/>
      </c>
      <c r="BF27" s="19" t="str">
        <f t="shared" si="6"/>
        <v/>
      </c>
      <c r="BG27" s="24" t="s">
        <v>18</v>
      </c>
      <c r="BH27" s="45"/>
      <c r="BI27" s="132"/>
      <c r="BJ27" s="30" t="str">
        <f t="shared" si="19"/>
        <v/>
      </c>
      <c r="BK27" s="16" t="str">
        <f t="shared" si="7"/>
        <v/>
      </c>
      <c r="BL27" s="16" t="str">
        <f t="shared" si="7"/>
        <v/>
      </c>
      <c r="BM27" s="16" t="str">
        <f t="shared" si="7"/>
        <v/>
      </c>
      <c r="BN27" s="16" t="str">
        <f t="shared" si="7"/>
        <v/>
      </c>
      <c r="BO27" s="23" t="s">
        <v>18</v>
      </c>
      <c r="BP27" s="31"/>
      <c r="BQ27" s="123"/>
      <c r="BR27" s="44" t="str">
        <f t="shared" si="20"/>
        <v/>
      </c>
      <c r="BS27" s="19" t="str">
        <f t="shared" si="8"/>
        <v/>
      </c>
      <c r="BT27" s="19" t="str">
        <f t="shared" si="8"/>
        <v/>
      </c>
      <c r="BU27" s="19" t="str">
        <f t="shared" si="8"/>
        <v/>
      </c>
      <c r="BV27" s="19" t="str">
        <f t="shared" si="8"/>
        <v/>
      </c>
      <c r="BW27" s="24" t="s">
        <v>18</v>
      </c>
      <c r="BX27" s="45"/>
      <c r="BY27" s="132"/>
      <c r="BZ27" s="30" t="str">
        <f t="shared" si="21"/>
        <v/>
      </c>
      <c r="CA27" s="16" t="str">
        <f t="shared" si="9"/>
        <v/>
      </c>
      <c r="CB27" s="16" t="str">
        <f t="shared" si="9"/>
        <v/>
      </c>
      <c r="CC27" s="16" t="str">
        <f t="shared" si="9"/>
        <v/>
      </c>
      <c r="CD27" s="16" t="str">
        <f t="shared" si="9"/>
        <v/>
      </c>
      <c r="CE27" s="23" t="s">
        <v>18</v>
      </c>
      <c r="CF27" s="31"/>
      <c r="CG27" s="123"/>
      <c r="CH27" s="44" t="str">
        <f t="shared" si="22"/>
        <v/>
      </c>
      <c r="CI27" s="19" t="str">
        <f t="shared" si="10"/>
        <v/>
      </c>
      <c r="CJ27" s="19" t="str">
        <f t="shared" si="10"/>
        <v/>
      </c>
      <c r="CK27" s="19" t="str">
        <f t="shared" si="10"/>
        <v/>
      </c>
      <c r="CL27" s="19" t="str">
        <f t="shared" si="10"/>
        <v/>
      </c>
      <c r="CM27" s="24" t="s">
        <v>18</v>
      </c>
      <c r="CN27" s="45"/>
      <c r="CO27" s="132"/>
      <c r="CP27" s="30" t="str">
        <f t="shared" si="23"/>
        <v/>
      </c>
      <c r="CQ27" s="16" t="str">
        <f t="shared" si="11"/>
        <v/>
      </c>
      <c r="CR27" s="16" t="str">
        <f t="shared" si="11"/>
        <v/>
      </c>
      <c r="CS27" s="16" t="str">
        <f t="shared" si="11"/>
        <v/>
      </c>
      <c r="CT27" s="16" t="str">
        <f t="shared" si="11"/>
        <v/>
      </c>
      <c r="CU27" s="23" t="s">
        <v>18</v>
      </c>
      <c r="CV27" s="31"/>
      <c r="CW27" s="123"/>
      <c r="CX27" s="44" t="str">
        <f t="shared" si="24"/>
        <v/>
      </c>
      <c r="CY27" s="19" t="str">
        <f t="shared" si="12"/>
        <v/>
      </c>
      <c r="CZ27" s="19" t="str">
        <f t="shared" si="12"/>
        <v/>
      </c>
      <c r="DA27" s="19" t="str">
        <f t="shared" si="12"/>
        <v/>
      </c>
      <c r="DB27" s="19" t="str">
        <f t="shared" si="12"/>
        <v/>
      </c>
      <c r="DC27" s="24" t="s">
        <v>18</v>
      </c>
      <c r="DD27" s="45"/>
      <c r="DE27" s="132"/>
    </row>
    <row r="28" spans="1:109" s="15" customFormat="1" x14ac:dyDescent="0.25">
      <c r="A28" s="91"/>
      <c r="C28" s="109" t="str">
        <f t="shared" ca="1" si="0"/>
        <v/>
      </c>
      <c r="D28" s="102"/>
      <c r="E28" s="140"/>
      <c r="F28" s="44"/>
      <c r="G28" s="19"/>
      <c r="H28" s="19"/>
      <c r="I28" s="19"/>
      <c r="J28" s="19"/>
      <c r="K28" s="24"/>
      <c r="L28" s="77"/>
      <c r="M28" s="132"/>
      <c r="N28" s="30" t="str">
        <f t="shared" si="13"/>
        <v/>
      </c>
      <c r="O28" s="16" t="str">
        <f t="shared" si="13"/>
        <v/>
      </c>
      <c r="P28" s="16" t="str">
        <f t="shared" si="13"/>
        <v/>
      </c>
      <c r="Q28" s="16" t="str">
        <f t="shared" si="13"/>
        <v/>
      </c>
      <c r="R28" s="16" t="str">
        <f t="shared" si="13"/>
        <v/>
      </c>
      <c r="S28" s="23"/>
      <c r="T28" s="31"/>
      <c r="U28" s="123"/>
      <c r="V28" s="44" t="str">
        <f t="shared" si="14"/>
        <v/>
      </c>
      <c r="W28" s="19" t="str">
        <f t="shared" si="2"/>
        <v/>
      </c>
      <c r="X28" s="19" t="str">
        <f t="shared" si="2"/>
        <v/>
      </c>
      <c r="Y28" s="19" t="str">
        <f t="shared" si="2"/>
        <v/>
      </c>
      <c r="Z28" s="19" t="str">
        <f t="shared" si="2"/>
        <v/>
      </c>
      <c r="AA28" s="24"/>
      <c r="AB28" s="45"/>
      <c r="AC28" s="132"/>
      <c r="AD28" s="30" t="str">
        <f t="shared" si="15"/>
        <v/>
      </c>
      <c r="AE28" s="16" t="str">
        <f t="shared" si="3"/>
        <v/>
      </c>
      <c r="AF28" s="16" t="str">
        <f t="shared" si="3"/>
        <v/>
      </c>
      <c r="AG28" s="16" t="str">
        <f t="shared" si="3"/>
        <v/>
      </c>
      <c r="AH28" s="16" t="str">
        <f t="shared" si="3"/>
        <v/>
      </c>
      <c r="AI28" s="23"/>
      <c r="AJ28" s="31"/>
      <c r="AK28" s="123"/>
      <c r="AL28" s="44" t="str">
        <f t="shared" si="16"/>
        <v/>
      </c>
      <c r="AM28" s="19" t="str">
        <f t="shared" si="4"/>
        <v/>
      </c>
      <c r="AN28" s="19" t="str">
        <f t="shared" si="4"/>
        <v/>
      </c>
      <c r="AO28" s="19" t="str">
        <f t="shared" si="4"/>
        <v/>
      </c>
      <c r="AP28" s="19" t="str">
        <f t="shared" si="4"/>
        <v/>
      </c>
      <c r="AQ28" s="24"/>
      <c r="AR28" s="45"/>
      <c r="AS28" s="132"/>
      <c r="AT28" s="30" t="str">
        <f t="shared" si="17"/>
        <v/>
      </c>
      <c r="AU28" s="16" t="str">
        <f t="shared" si="5"/>
        <v/>
      </c>
      <c r="AV28" s="16" t="str">
        <f t="shared" si="5"/>
        <v/>
      </c>
      <c r="AW28" s="16" t="str">
        <f t="shared" si="5"/>
        <v/>
      </c>
      <c r="AX28" s="16" t="str">
        <f t="shared" si="5"/>
        <v/>
      </c>
      <c r="AY28" s="23"/>
      <c r="AZ28" s="31"/>
      <c r="BA28" s="123"/>
      <c r="BB28" s="44" t="str">
        <f t="shared" si="18"/>
        <v/>
      </c>
      <c r="BC28" s="19" t="str">
        <f t="shared" si="6"/>
        <v/>
      </c>
      <c r="BD28" s="19" t="str">
        <f t="shared" si="6"/>
        <v/>
      </c>
      <c r="BE28" s="19" t="str">
        <f t="shared" si="6"/>
        <v/>
      </c>
      <c r="BF28" s="19" t="str">
        <f t="shared" si="6"/>
        <v/>
      </c>
      <c r="BG28" s="24"/>
      <c r="BH28" s="45"/>
      <c r="BI28" s="132"/>
      <c r="BJ28" s="30" t="str">
        <f t="shared" si="19"/>
        <v/>
      </c>
      <c r="BK28" s="16" t="str">
        <f t="shared" si="7"/>
        <v/>
      </c>
      <c r="BL28" s="16" t="str">
        <f t="shared" si="7"/>
        <v/>
      </c>
      <c r="BM28" s="16" t="str">
        <f t="shared" si="7"/>
        <v/>
      </c>
      <c r="BN28" s="16" t="str">
        <f t="shared" si="7"/>
        <v/>
      </c>
      <c r="BO28" s="23"/>
      <c r="BP28" s="31"/>
      <c r="BQ28" s="123"/>
      <c r="BR28" s="44" t="str">
        <f t="shared" si="20"/>
        <v/>
      </c>
      <c r="BS28" s="19" t="str">
        <f t="shared" si="8"/>
        <v/>
      </c>
      <c r="BT28" s="19" t="str">
        <f t="shared" si="8"/>
        <v/>
      </c>
      <c r="BU28" s="19" t="str">
        <f t="shared" si="8"/>
        <v/>
      </c>
      <c r="BV28" s="19" t="str">
        <f t="shared" si="8"/>
        <v/>
      </c>
      <c r="BW28" s="24"/>
      <c r="BX28" s="45"/>
      <c r="BY28" s="132"/>
      <c r="BZ28" s="30" t="str">
        <f t="shared" si="21"/>
        <v/>
      </c>
      <c r="CA28" s="16" t="str">
        <f t="shared" si="9"/>
        <v/>
      </c>
      <c r="CB28" s="16" t="str">
        <f t="shared" si="9"/>
        <v/>
      </c>
      <c r="CC28" s="16" t="str">
        <f t="shared" si="9"/>
        <v/>
      </c>
      <c r="CD28" s="16" t="str">
        <f t="shared" si="9"/>
        <v/>
      </c>
      <c r="CE28" s="23"/>
      <c r="CF28" s="31"/>
      <c r="CG28" s="123"/>
      <c r="CH28" s="44" t="str">
        <f t="shared" si="22"/>
        <v/>
      </c>
      <c r="CI28" s="19" t="str">
        <f t="shared" si="10"/>
        <v/>
      </c>
      <c r="CJ28" s="19" t="str">
        <f t="shared" si="10"/>
        <v/>
      </c>
      <c r="CK28" s="19" t="str">
        <f t="shared" si="10"/>
        <v/>
      </c>
      <c r="CL28" s="19" t="str">
        <f t="shared" si="10"/>
        <v/>
      </c>
      <c r="CM28" s="24"/>
      <c r="CN28" s="45"/>
      <c r="CO28" s="132"/>
      <c r="CP28" s="30" t="str">
        <f t="shared" si="23"/>
        <v/>
      </c>
      <c r="CQ28" s="16" t="str">
        <f t="shared" si="11"/>
        <v/>
      </c>
      <c r="CR28" s="16" t="str">
        <f t="shared" si="11"/>
        <v/>
      </c>
      <c r="CS28" s="16" t="str">
        <f t="shared" si="11"/>
        <v/>
      </c>
      <c r="CT28" s="16" t="str">
        <f t="shared" si="11"/>
        <v/>
      </c>
      <c r="CU28" s="23"/>
      <c r="CV28" s="31"/>
      <c r="CW28" s="123"/>
      <c r="CX28" s="44" t="str">
        <f t="shared" si="24"/>
        <v/>
      </c>
      <c r="CY28" s="19" t="str">
        <f t="shared" si="12"/>
        <v/>
      </c>
      <c r="CZ28" s="19" t="str">
        <f t="shared" si="12"/>
        <v/>
      </c>
      <c r="DA28" s="19" t="str">
        <f t="shared" si="12"/>
        <v/>
      </c>
      <c r="DB28" s="19" t="str">
        <f t="shared" si="12"/>
        <v/>
      </c>
      <c r="DC28" s="24"/>
      <c r="DD28" s="45"/>
      <c r="DE28" s="132"/>
    </row>
    <row r="29" spans="1:109" s="15" customFormat="1" x14ac:dyDescent="0.25">
      <c r="A29" s="91"/>
      <c r="B29" s="88"/>
      <c r="C29" s="109" t="str">
        <f t="shared" ca="1" si="0"/>
        <v/>
      </c>
      <c r="D29" s="102" t="s">
        <v>14</v>
      </c>
      <c r="E29" s="140"/>
      <c r="F29" s="44"/>
      <c r="G29" s="19"/>
      <c r="H29" s="19"/>
      <c r="I29" s="19"/>
      <c r="J29" s="19"/>
      <c r="K29" s="24" t="s">
        <v>17</v>
      </c>
      <c r="L29" s="77"/>
      <c r="M29" s="132"/>
      <c r="N29" s="30" t="str">
        <f t="shared" si="13"/>
        <v/>
      </c>
      <c r="O29" s="16" t="str">
        <f t="shared" si="13"/>
        <v/>
      </c>
      <c r="P29" s="16" t="str">
        <f t="shared" si="13"/>
        <v/>
      </c>
      <c r="Q29" s="16" t="str">
        <f t="shared" si="13"/>
        <v/>
      </c>
      <c r="R29" s="16" t="str">
        <f t="shared" si="13"/>
        <v/>
      </c>
      <c r="S29" s="23" t="s">
        <v>17</v>
      </c>
      <c r="T29" s="31"/>
      <c r="U29" s="123"/>
      <c r="V29" s="44" t="str">
        <f t="shared" si="14"/>
        <v/>
      </c>
      <c r="W29" s="19" t="str">
        <f t="shared" si="2"/>
        <v/>
      </c>
      <c r="X29" s="19" t="str">
        <f t="shared" si="2"/>
        <v/>
      </c>
      <c r="Y29" s="19" t="str">
        <f t="shared" si="2"/>
        <v/>
      </c>
      <c r="Z29" s="19" t="str">
        <f t="shared" si="2"/>
        <v/>
      </c>
      <c r="AA29" s="24" t="s">
        <v>17</v>
      </c>
      <c r="AB29" s="45"/>
      <c r="AC29" s="132"/>
      <c r="AD29" s="30" t="str">
        <f t="shared" si="15"/>
        <v/>
      </c>
      <c r="AE29" s="16" t="str">
        <f t="shared" si="3"/>
        <v/>
      </c>
      <c r="AF29" s="16" t="str">
        <f t="shared" si="3"/>
        <v/>
      </c>
      <c r="AG29" s="16" t="str">
        <f t="shared" si="3"/>
        <v/>
      </c>
      <c r="AH29" s="16" t="str">
        <f t="shared" si="3"/>
        <v/>
      </c>
      <c r="AI29" s="23" t="s">
        <v>17</v>
      </c>
      <c r="AJ29" s="31"/>
      <c r="AK29" s="123"/>
      <c r="AL29" s="44" t="str">
        <f t="shared" si="16"/>
        <v/>
      </c>
      <c r="AM29" s="19" t="str">
        <f t="shared" si="4"/>
        <v/>
      </c>
      <c r="AN29" s="19" t="str">
        <f t="shared" si="4"/>
        <v/>
      </c>
      <c r="AO29" s="19" t="str">
        <f t="shared" si="4"/>
        <v/>
      </c>
      <c r="AP29" s="19" t="str">
        <f t="shared" si="4"/>
        <v/>
      </c>
      <c r="AQ29" s="24" t="s">
        <v>17</v>
      </c>
      <c r="AR29" s="45"/>
      <c r="AS29" s="132"/>
      <c r="AT29" s="30" t="str">
        <f t="shared" si="17"/>
        <v/>
      </c>
      <c r="AU29" s="16" t="str">
        <f t="shared" si="5"/>
        <v/>
      </c>
      <c r="AV29" s="16" t="str">
        <f t="shared" si="5"/>
        <v/>
      </c>
      <c r="AW29" s="16" t="str">
        <f t="shared" si="5"/>
        <v/>
      </c>
      <c r="AX29" s="16" t="str">
        <f t="shared" si="5"/>
        <v/>
      </c>
      <c r="AY29" s="23" t="s">
        <v>17</v>
      </c>
      <c r="AZ29" s="31"/>
      <c r="BA29" s="123"/>
      <c r="BB29" s="44" t="str">
        <f t="shared" si="18"/>
        <v/>
      </c>
      <c r="BC29" s="19" t="str">
        <f t="shared" si="6"/>
        <v/>
      </c>
      <c r="BD29" s="19" t="str">
        <f t="shared" si="6"/>
        <v/>
      </c>
      <c r="BE29" s="19" t="str">
        <f t="shared" si="6"/>
        <v/>
      </c>
      <c r="BF29" s="19" t="str">
        <f t="shared" si="6"/>
        <v/>
      </c>
      <c r="BG29" s="24" t="s">
        <v>17</v>
      </c>
      <c r="BH29" s="45"/>
      <c r="BI29" s="132"/>
      <c r="BJ29" s="30" t="str">
        <f t="shared" si="19"/>
        <v/>
      </c>
      <c r="BK29" s="16" t="str">
        <f t="shared" si="7"/>
        <v/>
      </c>
      <c r="BL29" s="16" t="str">
        <f t="shared" si="7"/>
        <v/>
      </c>
      <c r="BM29" s="16" t="str">
        <f t="shared" si="7"/>
        <v/>
      </c>
      <c r="BN29" s="16" t="str">
        <f t="shared" si="7"/>
        <v/>
      </c>
      <c r="BO29" s="23" t="s">
        <v>17</v>
      </c>
      <c r="BP29" s="31"/>
      <c r="BQ29" s="123"/>
      <c r="BR29" s="44" t="str">
        <f t="shared" si="20"/>
        <v/>
      </c>
      <c r="BS29" s="19" t="str">
        <f t="shared" si="8"/>
        <v/>
      </c>
      <c r="BT29" s="19" t="str">
        <f t="shared" si="8"/>
        <v/>
      </c>
      <c r="BU29" s="19" t="str">
        <f t="shared" si="8"/>
        <v/>
      </c>
      <c r="BV29" s="19" t="str">
        <f t="shared" si="8"/>
        <v/>
      </c>
      <c r="BW29" s="24" t="s">
        <v>17</v>
      </c>
      <c r="BX29" s="45"/>
      <c r="BY29" s="132"/>
      <c r="BZ29" s="30" t="str">
        <f t="shared" si="21"/>
        <v/>
      </c>
      <c r="CA29" s="16" t="str">
        <f t="shared" si="9"/>
        <v/>
      </c>
      <c r="CB29" s="16" t="str">
        <f t="shared" si="9"/>
        <v/>
      </c>
      <c r="CC29" s="16" t="str">
        <f t="shared" si="9"/>
        <v/>
      </c>
      <c r="CD29" s="16" t="str">
        <f t="shared" si="9"/>
        <v/>
      </c>
      <c r="CE29" s="23" t="s">
        <v>17</v>
      </c>
      <c r="CF29" s="31"/>
      <c r="CG29" s="123"/>
      <c r="CH29" s="44" t="str">
        <f t="shared" si="22"/>
        <v/>
      </c>
      <c r="CI29" s="19" t="str">
        <f t="shared" si="10"/>
        <v/>
      </c>
      <c r="CJ29" s="19" t="str">
        <f t="shared" si="10"/>
        <v/>
      </c>
      <c r="CK29" s="19" t="str">
        <f t="shared" si="10"/>
        <v/>
      </c>
      <c r="CL29" s="19" t="str">
        <f t="shared" si="10"/>
        <v/>
      </c>
      <c r="CM29" s="24" t="s">
        <v>17</v>
      </c>
      <c r="CN29" s="45"/>
      <c r="CO29" s="132"/>
      <c r="CP29" s="30" t="str">
        <f t="shared" si="23"/>
        <v/>
      </c>
      <c r="CQ29" s="16" t="str">
        <f t="shared" si="11"/>
        <v/>
      </c>
      <c r="CR29" s="16" t="str">
        <f t="shared" si="11"/>
        <v/>
      </c>
      <c r="CS29" s="16" t="str">
        <f t="shared" si="11"/>
        <v/>
      </c>
      <c r="CT29" s="16" t="str">
        <f t="shared" si="11"/>
        <v/>
      </c>
      <c r="CU29" s="23" t="s">
        <v>17</v>
      </c>
      <c r="CV29" s="31"/>
      <c r="CW29" s="123"/>
      <c r="CX29" s="44" t="str">
        <f t="shared" si="24"/>
        <v/>
      </c>
      <c r="CY29" s="19" t="str">
        <f t="shared" si="12"/>
        <v/>
      </c>
      <c r="CZ29" s="19" t="str">
        <f t="shared" si="12"/>
        <v/>
      </c>
      <c r="DA29" s="19" t="str">
        <f t="shared" si="12"/>
        <v/>
      </c>
      <c r="DB29" s="19" t="str">
        <f t="shared" si="12"/>
        <v/>
      </c>
      <c r="DC29" s="24" t="s">
        <v>17</v>
      </c>
      <c r="DD29" s="45"/>
      <c r="DE29" s="132"/>
    </row>
    <row r="30" spans="1:109" s="15" customFormat="1" x14ac:dyDescent="0.25">
      <c r="A30" s="91"/>
      <c r="B30" s="88"/>
      <c r="C30" s="109" t="str">
        <f t="shared" ca="1" si="0"/>
        <v/>
      </c>
      <c r="D30" s="102" t="s">
        <v>14</v>
      </c>
      <c r="E30" s="140"/>
      <c r="F30" s="44"/>
      <c r="G30" s="76"/>
      <c r="H30" s="19"/>
      <c r="I30" s="19"/>
      <c r="J30" s="19"/>
      <c r="K30" s="24" t="s">
        <v>18</v>
      </c>
      <c r="L30" s="77"/>
      <c r="M30" s="132"/>
      <c r="N30" s="30" t="str">
        <f t="shared" si="13"/>
        <v/>
      </c>
      <c r="O30" s="16" t="str">
        <f t="shared" si="13"/>
        <v/>
      </c>
      <c r="P30" s="16" t="str">
        <f t="shared" si="13"/>
        <v/>
      </c>
      <c r="Q30" s="16" t="str">
        <f t="shared" si="13"/>
        <v/>
      </c>
      <c r="R30" s="16" t="str">
        <f t="shared" si="13"/>
        <v/>
      </c>
      <c r="S30" s="23" t="s">
        <v>18</v>
      </c>
      <c r="T30" s="31"/>
      <c r="U30" s="123"/>
      <c r="V30" s="44" t="str">
        <f t="shared" si="14"/>
        <v/>
      </c>
      <c r="W30" s="19" t="str">
        <f t="shared" si="2"/>
        <v/>
      </c>
      <c r="X30" s="19" t="str">
        <f t="shared" si="2"/>
        <v/>
      </c>
      <c r="Y30" s="19" t="str">
        <f t="shared" si="2"/>
        <v/>
      </c>
      <c r="Z30" s="19" t="str">
        <f t="shared" si="2"/>
        <v/>
      </c>
      <c r="AA30" s="24" t="s">
        <v>18</v>
      </c>
      <c r="AB30" s="45"/>
      <c r="AC30" s="132"/>
      <c r="AD30" s="30" t="str">
        <f t="shared" si="15"/>
        <v/>
      </c>
      <c r="AE30" s="16" t="str">
        <f t="shared" si="3"/>
        <v/>
      </c>
      <c r="AF30" s="16" t="str">
        <f t="shared" si="3"/>
        <v/>
      </c>
      <c r="AG30" s="16" t="str">
        <f t="shared" si="3"/>
        <v/>
      </c>
      <c r="AH30" s="16" t="str">
        <f t="shared" si="3"/>
        <v/>
      </c>
      <c r="AI30" s="23" t="s">
        <v>18</v>
      </c>
      <c r="AJ30" s="31"/>
      <c r="AK30" s="123"/>
      <c r="AL30" s="44" t="str">
        <f t="shared" si="16"/>
        <v/>
      </c>
      <c r="AM30" s="19" t="str">
        <f t="shared" si="4"/>
        <v/>
      </c>
      <c r="AN30" s="19" t="str">
        <f t="shared" si="4"/>
        <v/>
      </c>
      <c r="AO30" s="19" t="str">
        <f t="shared" si="4"/>
        <v/>
      </c>
      <c r="AP30" s="19" t="str">
        <f t="shared" si="4"/>
        <v/>
      </c>
      <c r="AQ30" s="24" t="s">
        <v>18</v>
      </c>
      <c r="AR30" s="45"/>
      <c r="AS30" s="132"/>
      <c r="AT30" s="30" t="str">
        <f t="shared" si="17"/>
        <v/>
      </c>
      <c r="AU30" s="16" t="str">
        <f t="shared" si="5"/>
        <v/>
      </c>
      <c r="AV30" s="16" t="str">
        <f t="shared" si="5"/>
        <v/>
      </c>
      <c r="AW30" s="16" t="str">
        <f t="shared" si="5"/>
        <v/>
      </c>
      <c r="AX30" s="16" t="str">
        <f t="shared" si="5"/>
        <v/>
      </c>
      <c r="AY30" s="23" t="s">
        <v>18</v>
      </c>
      <c r="AZ30" s="31"/>
      <c r="BA30" s="123"/>
      <c r="BB30" s="44" t="str">
        <f t="shared" si="18"/>
        <v/>
      </c>
      <c r="BC30" s="19" t="str">
        <f t="shared" si="6"/>
        <v/>
      </c>
      <c r="BD30" s="19" t="str">
        <f t="shared" si="6"/>
        <v/>
      </c>
      <c r="BE30" s="19" t="str">
        <f t="shared" si="6"/>
        <v/>
      </c>
      <c r="BF30" s="19" t="str">
        <f t="shared" si="6"/>
        <v/>
      </c>
      <c r="BG30" s="24" t="s">
        <v>18</v>
      </c>
      <c r="BH30" s="45"/>
      <c r="BI30" s="132"/>
      <c r="BJ30" s="30" t="str">
        <f t="shared" si="19"/>
        <v/>
      </c>
      <c r="BK30" s="16" t="str">
        <f t="shared" si="7"/>
        <v/>
      </c>
      <c r="BL30" s="16" t="str">
        <f t="shared" si="7"/>
        <v/>
      </c>
      <c r="BM30" s="16" t="str">
        <f t="shared" si="7"/>
        <v/>
      </c>
      <c r="BN30" s="16" t="str">
        <f t="shared" si="7"/>
        <v/>
      </c>
      <c r="BO30" s="23" t="s">
        <v>18</v>
      </c>
      <c r="BP30" s="31"/>
      <c r="BQ30" s="123"/>
      <c r="BR30" s="44" t="str">
        <f t="shared" si="20"/>
        <v/>
      </c>
      <c r="BS30" s="19" t="str">
        <f t="shared" si="8"/>
        <v/>
      </c>
      <c r="BT30" s="19" t="str">
        <f t="shared" si="8"/>
        <v/>
      </c>
      <c r="BU30" s="19" t="str">
        <f t="shared" si="8"/>
        <v/>
      </c>
      <c r="BV30" s="19" t="str">
        <f t="shared" si="8"/>
        <v/>
      </c>
      <c r="BW30" s="24" t="s">
        <v>18</v>
      </c>
      <c r="BX30" s="45"/>
      <c r="BY30" s="132"/>
      <c r="BZ30" s="30" t="str">
        <f t="shared" si="21"/>
        <v/>
      </c>
      <c r="CA30" s="16" t="str">
        <f t="shared" si="9"/>
        <v/>
      </c>
      <c r="CB30" s="16" t="str">
        <f t="shared" si="9"/>
        <v/>
      </c>
      <c r="CC30" s="16" t="str">
        <f t="shared" si="9"/>
        <v/>
      </c>
      <c r="CD30" s="16" t="str">
        <f t="shared" si="9"/>
        <v/>
      </c>
      <c r="CE30" s="23" t="s">
        <v>18</v>
      </c>
      <c r="CF30" s="31"/>
      <c r="CG30" s="123"/>
      <c r="CH30" s="44" t="str">
        <f t="shared" si="22"/>
        <v/>
      </c>
      <c r="CI30" s="19" t="str">
        <f t="shared" si="10"/>
        <v/>
      </c>
      <c r="CJ30" s="19" t="str">
        <f t="shared" si="10"/>
        <v/>
      </c>
      <c r="CK30" s="19" t="str">
        <f t="shared" si="10"/>
        <v/>
      </c>
      <c r="CL30" s="19" t="str">
        <f t="shared" si="10"/>
        <v/>
      </c>
      <c r="CM30" s="24" t="s">
        <v>18</v>
      </c>
      <c r="CN30" s="45"/>
      <c r="CO30" s="132"/>
      <c r="CP30" s="30" t="str">
        <f t="shared" si="23"/>
        <v/>
      </c>
      <c r="CQ30" s="16" t="str">
        <f t="shared" si="11"/>
        <v/>
      </c>
      <c r="CR30" s="16" t="str">
        <f t="shared" si="11"/>
        <v/>
      </c>
      <c r="CS30" s="16" t="str">
        <f t="shared" si="11"/>
        <v/>
      </c>
      <c r="CT30" s="16" t="str">
        <f t="shared" si="11"/>
        <v/>
      </c>
      <c r="CU30" s="23" t="s">
        <v>18</v>
      </c>
      <c r="CV30" s="31"/>
      <c r="CW30" s="123"/>
      <c r="CX30" s="44" t="str">
        <f t="shared" si="24"/>
        <v/>
      </c>
      <c r="CY30" s="19" t="str">
        <f t="shared" si="12"/>
        <v/>
      </c>
      <c r="CZ30" s="19" t="str">
        <f t="shared" si="12"/>
        <v/>
      </c>
      <c r="DA30" s="19" t="str">
        <f t="shared" si="12"/>
        <v/>
      </c>
      <c r="DB30" s="19" t="str">
        <f t="shared" si="12"/>
        <v/>
      </c>
      <c r="DC30" s="24" t="s">
        <v>18</v>
      </c>
      <c r="DD30" s="45"/>
      <c r="DE30" s="132"/>
    </row>
    <row r="31" spans="1:109" s="15" customFormat="1" x14ac:dyDescent="0.25">
      <c r="A31" s="92"/>
      <c r="B31" s="114"/>
      <c r="C31" s="109" t="str">
        <f t="shared" ca="1" si="0"/>
        <v/>
      </c>
      <c r="D31" s="102" t="s">
        <v>14</v>
      </c>
      <c r="E31"/>
      <c r="F31" s="46"/>
      <c r="G31" s="20"/>
      <c r="H31" s="20"/>
      <c r="I31" s="20"/>
      <c r="J31" s="20"/>
      <c r="K31" s="24" t="s">
        <v>20</v>
      </c>
      <c r="L31" s="78"/>
      <c r="M31"/>
      <c r="N31" s="30" t="str">
        <f t="shared" si="13"/>
        <v/>
      </c>
      <c r="O31" s="17" t="str">
        <f t="shared" si="13"/>
        <v/>
      </c>
      <c r="P31" s="17" t="str">
        <f t="shared" si="13"/>
        <v/>
      </c>
      <c r="Q31" s="17" t="str">
        <f t="shared" si="13"/>
        <v/>
      </c>
      <c r="R31" s="17" t="str">
        <f t="shared" si="13"/>
        <v/>
      </c>
      <c r="S31" s="23" t="s">
        <v>20</v>
      </c>
      <c r="T31" s="63"/>
      <c r="U31"/>
      <c r="V31" s="44" t="str">
        <f t="shared" si="14"/>
        <v/>
      </c>
      <c r="W31" s="20" t="str">
        <f t="shared" si="2"/>
        <v/>
      </c>
      <c r="X31" s="20" t="str">
        <f t="shared" si="2"/>
        <v/>
      </c>
      <c r="Y31" s="20" t="str">
        <f t="shared" si="2"/>
        <v/>
      </c>
      <c r="Z31" s="20" t="str">
        <f t="shared" si="2"/>
        <v/>
      </c>
      <c r="AA31" s="24" t="s">
        <v>20</v>
      </c>
      <c r="AB31" s="66"/>
      <c r="AC31"/>
      <c r="AD31" s="30" t="str">
        <f t="shared" si="15"/>
        <v/>
      </c>
      <c r="AE31" s="17" t="str">
        <f t="shared" si="3"/>
        <v/>
      </c>
      <c r="AF31" s="17" t="str">
        <f t="shared" si="3"/>
        <v/>
      </c>
      <c r="AG31" s="17" t="str">
        <f t="shared" si="3"/>
        <v/>
      </c>
      <c r="AH31" s="17" t="str">
        <f t="shared" si="3"/>
        <v/>
      </c>
      <c r="AI31" s="23" t="s">
        <v>20</v>
      </c>
      <c r="AJ31" s="63"/>
      <c r="AK31"/>
      <c r="AL31" s="44" t="str">
        <f t="shared" si="16"/>
        <v/>
      </c>
      <c r="AM31" s="20" t="str">
        <f t="shared" si="4"/>
        <v/>
      </c>
      <c r="AN31" s="20" t="str">
        <f t="shared" si="4"/>
        <v/>
      </c>
      <c r="AO31" s="20" t="str">
        <f t="shared" si="4"/>
        <v/>
      </c>
      <c r="AP31" s="20" t="str">
        <f t="shared" si="4"/>
        <v/>
      </c>
      <c r="AQ31" s="24" t="s">
        <v>20</v>
      </c>
      <c r="AR31" s="66"/>
      <c r="AS31"/>
      <c r="AT31" s="30" t="str">
        <f t="shared" si="17"/>
        <v/>
      </c>
      <c r="AU31" s="17" t="str">
        <f t="shared" si="5"/>
        <v/>
      </c>
      <c r="AV31" s="17" t="str">
        <f t="shared" si="5"/>
        <v/>
      </c>
      <c r="AW31" s="17" t="str">
        <f t="shared" si="5"/>
        <v/>
      </c>
      <c r="AX31" s="17" t="str">
        <f t="shared" si="5"/>
        <v/>
      </c>
      <c r="AY31" s="23" t="s">
        <v>20</v>
      </c>
      <c r="AZ31" s="63"/>
      <c r="BA31"/>
      <c r="BB31" s="44" t="str">
        <f t="shared" si="18"/>
        <v/>
      </c>
      <c r="BC31" s="20" t="str">
        <f t="shared" si="6"/>
        <v/>
      </c>
      <c r="BD31" s="20" t="str">
        <f t="shared" si="6"/>
        <v/>
      </c>
      <c r="BE31" s="20" t="str">
        <f t="shared" si="6"/>
        <v/>
      </c>
      <c r="BF31" s="20" t="str">
        <f t="shared" si="6"/>
        <v/>
      </c>
      <c r="BG31" s="24" t="s">
        <v>20</v>
      </c>
      <c r="BH31" s="66"/>
      <c r="BI31"/>
      <c r="BJ31" s="30" t="str">
        <f t="shared" si="19"/>
        <v/>
      </c>
      <c r="BK31" s="17" t="str">
        <f t="shared" si="7"/>
        <v/>
      </c>
      <c r="BL31" s="17" t="str">
        <f t="shared" si="7"/>
        <v/>
      </c>
      <c r="BM31" s="17" t="str">
        <f t="shared" si="7"/>
        <v/>
      </c>
      <c r="BN31" s="17" t="str">
        <f t="shared" si="7"/>
        <v/>
      </c>
      <c r="BO31" s="23" t="s">
        <v>20</v>
      </c>
      <c r="BP31" s="63"/>
      <c r="BQ31"/>
      <c r="BR31" s="44" t="str">
        <f t="shared" si="20"/>
        <v/>
      </c>
      <c r="BS31" s="20" t="str">
        <f t="shared" si="8"/>
        <v/>
      </c>
      <c r="BT31" s="20" t="str">
        <f t="shared" si="8"/>
        <v/>
      </c>
      <c r="BU31" s="20" t="str">
        <f t="shared" si="8"/>
        <v/>
      </c>
      <c r="BV31" s="20" t="str">
        <f t="shared" si="8"/>
        <v/>
      </c>
      <c r="BW31" s="24" t="s">
        <v>20</v>
      </c>
      <c r="BX31" s="66"/>
      <c r="BY31"/>
      <c r="BZ31" s="30" t="str">
        <f t="shared" si="21"/>
        <v/>
      </c>
      <c r="CA31" s="17" t="str">
        <f t="shared" si="9"/>
        <v/>
      </c>
      <c r="CB31" s="17" t="str">
        <f t="shared" si="9"/>
        <v/>
      </c>
      <c r="CC31" s="17" t="str">
        <f t="shared" si="9"/>
        <v/>
      </c>
      <c r="CD31" s="17" t="str">
        <f t="shared" si="9"/>
        <v/>
      </c>
      <c r="CE31" s="23" t="s">
        <v>20</v>
      </c>
      <c r="CF31" s="63"/>
      <c r="CG31"/>
      <c r="CH31" s="44" t="str">
        <f t="shared" si="22"/>
        <v/>
      </c>
      <c r="CI31" s="20" t="str">
        <f t="shared" si="10"/>
        <v/>
      </c>
      <c r="CJ31" s="20" t="str">
        <f t="shared" si="10"/>
        <v/>
      </c>
      <c r="CK31" s="20" t="str">
        <f t="shared" si="10"/>
        <v/>
      </c>
      <c r="CL31" s="20" t="str">
        <f t="shared" si="10"/>
        <v/>
      </c>
      <c r="CM31" s="24" t="s">
        <v>20</v>
      </c>
      <c r="CN31" s="66"/>
      <c r="CO31"/>
      <c r="CP31" s="30" t="str">
        <f t="shared" si="23"/>
        <v/>
      </c>
      <c r="CQ31" s="17" t="str">
        <f t="shared" si="11"/>
        <v/>
      </c>
      <c r="CR31" s="17" t="str">
        <f t="shared" si="11"/>
        <v/>
      </c>
      <c r="CS31" s="17" t="str">
        <f t="shared" si="11"/>
        <v/>
      </c>
      <c r="CT31" s="17" t="str">
        <f t="shared" si="11"/>
        <v/>
      </c>
      <c r="CU31" s="23" t="s">
        <v>20</v>
      </c>
      <c r="CV31" s="63"/>
      <c r="CW31"/>
      <c r="CX31" s="44" t="str">
        <f t="shared" si="24"/>
        <v/>
      </c>
      <c r="CY31" s="20" t="str">
        <f t="shared" si="12"/>
        <v/>
      </c>
      <c r="CZ31" s="20" t="str">
        <f t="shared" si="12"/>
        <v/>
      </c>
      <c r="DA31" s="20" t="str">
        <f t="shared" si="12"/>
        <v/>
      </c>
      <c r="DB31" s="20" t="str">
        <f t="shared" si="12"/>
        <v/>
      </c>
      <c r="DC31" s="24" t="s">
        <v>20</v>
      </c>
      <c r="DD31" s="66"/>
      <c r="DE31"/>
    </row>
    <row r="32" spans="1:109" s="15" customFormat="1" x14ac:dyDescent="0.25">
      <c r="A32" s="91"/>
      <c r="B32" s="88"/>
      <c r="C32" s="109" t="str">
        <f t="shared" ca="1" si="0"/>
        <v/>
      </c>
      <c r="D32" s="102" t="s">
        <v>15</v>
      </c>
      <c r="E32"/>
      <c r="F32" s="44"/>
      <c r="G32" s="19"/>
      <c r="H32" s="76"/>
      <c r="I32" s="76"/>
      <c r="J32" s="19"/>
      <c r="K32" s="24" t="s">
        <v>17</v>
      </c>
      <c r="L32" s="45"/>
      <c r="M32"/>
      <c r="N32" s="30" t="str">
        <f t="shared" si="13"/>
        <v/>
      </c>
      <c r="O32" s="16" t="str">
        <f t="shared" si="13"/>
        <v/>
      </c>
      <c r="P32" s="16" t="str">
        <f t="shared" si="13"/>
        <v/>
      </c>
      <c r="Q32" s="16" t="str">
        <f t="shared" si="13"/>
        <v/>
      </c>
      <c r="R32" s="16" t="str">
        <f t="shared" si="13"/>
        <v/>
      </c>
      <c r="S32" s="23" t="s">
        <v>17</v>
      </c>
      <c r="T32" s="61"/>
      <c r="U32"/>
      <c r="V32" s="44" t="str">
        <f t="shared" si="14"/>
        <v/>
      </c>
      <c r="W32" s="19" t="str">
        <f t="shared" si="2"/>
        <v/>
      </c>
      <c r="X32" s="19" t="str">
        <f t="shared" si="2"/>
        <v/>
      </c>
      <c r="Y32" s="19" t="str">
        <f t="shared" si="2"/>
        <v/>
      </c>
      <c r="Z32" s="19" t="str">
        <f t="shared" si="2"/>
        <v/>
      </c>
      <c r="AA32" s="24" t="s">
        <v>17</v>
      </c>
      <c r="AB32" s="62"/>
      <c r="AC32"/>
      <c r="AD32" s="30" t="str">
        <f t="shared" si="15"/>
        <v/>
      </c>
      <c r="AE32" s="16" t="str">
        <f t="shared" si="3"/>
        <v/>
      </c>
      <c r="AF32" s="16" t="str">
        <f t="shared" si="3"/>
        <v/>
      </c>
      <c r="AG32" s="16" t="str">
        <f t="shared" si="3"/>
        <v/>
      </c>
      <c r="AH32" s="16" t="str">
        <f t="shared" si="3"/>
        <v/>
      </c>
      <c r="AI32" s="23" t="s">
        <v>17</v>
      </c>
      <c r="AJ32" s="61"/>
      <c r="AK32"/>
      <c r="AL32" s="44" t="str">
        <f t="shared" si="16"/>
        <v/>
      </c>
      <c r="AM32" s="19" t="str">
        <f t="shared" si="4"/>
        <v/>
      </c>
      <c r="AN32" s="19" t="str">
        <f t="shared" si="4"/>
        <v/>
      </c>
      <c r="AO32" s="19" t="str">
        <f t="shared" si="4"/>
        <v/>
      </c>
      <c r="AP32" s="19" t="str">
        <f t="shared" si="4"/>
        <v/>
      </c>
      <c r="AQ32" s="24" t="s">
        <v>17</v>
      </c>
      <c r="AR32" s="62"/>
      <c r="AS32"/>
      <c r="AT32" s="30" t="str">
        <f t="shared" si="17"/>
        <v/>
      </c>
      <c r="AU32" s="16" t="str">
        <f t="shared" si="5"/>
        <v/>
      </c>
      <c r="AV32" s="16" t="str">
        <f t="shared" si="5"/>
        <v/>
      </c>
      <c r="AW32" s="16" t="str">
        <f t="shared" si="5"/>
        <v/>
      </c>
      <c r="AX32" s="16" t="str">
        <f t="shared" si="5"/>
        <v/>
      </c>
      <c r="AY32" s="23" t="s">
        <v>17</v>
      </c>
      <c r="AZ32" s="61"/>
      <c r="BA32"/>
      <c r="BB32" s="44" t="str">
        <f t="shared" si="18"/>
        <v/>
      </c>
      <c r="BC32" s="19" t="str">
        <f t="shared" si="6"/>
        <v/>
      </c>
      <c r="BD32" s="19" t="str">
        <f t="shared" si="6"/>
        <v/>
      </c>
      <c r="BE32" s="19" t="str">
        <f t="shared" si="6"/>
        <v/>
      </c>
      <c r="BF32" s="19" t="str">
        <f t="shared" si="6"/>
        <v/>
      </c>
      <c r="BG32" s="24" t="s">
        <v>17</v>
      </c>
      <c r="BH32" s="62"/>
      <c r="BI32"/>
      <c r="BJ32" s="30" t="str">
        <f t="shared" si="19"/>
        <v/>
      </c>
      <c r="BK32" s="16" t="str">
        <f t="shared" si="7"/>
        <v/>
      </c>
      <c r="BL32" s="16" t="str">
        <f t="shared" si="7"/>
        <v/>
      </c>
      <c r="BM32" s="16" t="str">
        <f t="shared" si="7"/>
        <v/>
      </c>
      <c r="BN32" s="16" t="str">
        <f t="shared" si="7"/>
        <v/>
      </c>
      <c r="BO32" s="23" t="s">
        <v>17</v>
      </c>
      <c r="BP32" s="61"/>
      <c r="BQ32"/>
      <c r="BR32" s="44" t="str">
        <f t="shared" si="20"/>
        <v/>
      </c>
      <c r="BS32" s="19" t="str">
        <f t="shared" si="8"/>
        <v/>
      </c>
      <c r="BT32" s="19" t="str">
        <f t="shared" si="8"/>
        <v/>
      </c>
      <c r="BU32" s="19" t="str">
        <f t="shared" si="8"/>
        <v/>
      </c>
      <c r="BV32" s="19" t="str">
        <f t="shared" si="8"/>
        <v/>
      </c>
      <c r="BW32" s="24" t="s">
        <v>17</v>
      </c>
      <c r="BX32" s="62"/>
      <c r="BY32"/>
      <c r="BZ32" s="30" t="str">
        <f t="shared" si="21"/>
        <v/>
      </c>
      <c r="CA32" s="16" t="str">
        <f t="shared" si="9"/>
        <v/>
      </c>
      <c r="CB32" s="16" t="str">
        <f t="shared" si="9"/>
        <v/>
      </c>
      <c r="CC32" s="16" t="str">
        <f t="shared" si="9"/>
        <v/>
      </c>
      <c r="CD32" s="16" t="str">
        <f t="shared" si="9"/>
        <v/>
      </c>
      <c r="CE32" s="23" t="s">
        <v>17</v>
      </c>
      <c r="CF32" s="61"/>
      <c r="CG32"/>
      <c r="CH32" s="44" t="str">
        <f t="shared" si="22"/>
        <v/>
      </c>
      <c r="CI32" s="19" t="str">
        <f t="shared" si="10"/>
        <v/>
      </c>
      <c r="CJ32" s="19" t="str">
        <f t="shared" si="10"/>
        <v/>
      </c>
      <c r="CK32" s="19" t="str">
        <f t="shared" si="10"/>
        <v/>
      </c>
      <c r="CL32" s="19" t="str">
        <f t="shared" si="10"/>
        <v/>
      </c>
      <c r="CM32" s="24" t="s">
        <v>17</v>
      </c>
      <c r="CN32" s="62"/>
      <c r="CO32"/>
      <c r="CP32" s="30" t="str">
        <f t="shared" si="23"/>
        <v/>
      </c>
      <c r="CQ32" s="16" t="str">
        <f t="shared" si="11"/>
        <v/>
      </c>
      <c r="CR32" s="16" t="str">
        <f t="shared" si="11"/>
        <v/>
      </c>
      <c r="CS32" s="16" t="str">
        <f t="shared" si="11"/>
        <v/>
      </c>
      <c r="CT32" s="16" t="str">
        <f t="shared" si="11"/>
        <v/>
      </c>
      <c r="CU32" s="23" t="s">
        <v>17</v>
      </c>
      <c r="CV32" s="61"/>
      <c r="CW32"/>
      <c r="CX32" s="44" t="str">
        <f t="shared" si="24"/>
        <v/>
      </c>
      <c r="CY32" s="19" t="str">
        <f t="shared" si="12"/>
        <v/>
      </c>
      <c r="CZ32" s="19" t="str">
        <f t="shared" si="12"/>
        <v/>
      </c>
      <c r="DA32" s="19" t="str">
        <f t="shared" si="12"/>
        <v/>
      </c>
      <c r="DB32" s="19" t="str">
        <f t="shared" si="12"/>
        <v/>
      </c>
      <c r="DC32" s="24" t="s">
        <v>17</v>
      </c>
      <c r="DD32" s="62"/>
      <c r="DE32"/>
    </row>
    <row r="33" spans="1:109" s="15" customFormat="1" x14ac:dyDescent="0.25">
      <c r="A33" s="91"/>
      <c r="B33" s="88"/>
      <c r="C33" s="109" t="str">
        <f ca="1">IF(B33&lt;&gt;"",DATEDIF(B33,TODAY(),"Y")&amp;" J, " &amp; DATEDIF(B33,TODAY(),"YM")&amp; " Mt","")</f>
        <v/>
      </c>
      <c r="D33" s="102"/>
      <c r="E33"/>
      <c r="F33" s="44"/>
      <c r="G33" s="19"/>
      <c r="H33" s="19"/>
      <c r="I33" s="19"/>
      <c r="J33" s="19"/>
      <c r="K33" s="24"/>
      <c r="L33" s="45"/>
      <c r="M33"/>
      <c r="N33" s="30" t="str">
        <f t="shared" si="13"/>
        <v/>
      </c>
      <c r="O33" s="16" t="str">
        <f t="shared" si="13"/>
        <v/>
      </c>
      <c r="P33" s="16" t="str">
        <f t="shared" si="13"/>
        <v/>
      </c>
      <c r="Q33" s="16" t="str">
        <f t="shared" si="13"/>
        <v/>
      </c>
      <c r="R33" s="16" t="str">
        <f t="shared" si="13"/>
        <v/>
      </c>
      <c r="S33" s="23"/>
      <c r="T33" s="61"/>
      <c r="U33"/>
      <c r="V33" s="44" t="str">
        <f t="shared" si="14"/>
        <v/>
      </c>
      <c r="W33" s="19" t="str">
        <f t="shared" si="2"/>
        <v/>
      </c>
      <c r="X33" s="19" t="str">
        <f t="shared" si="2"/>
        <v/>
      </c>
      <c r="Y33" s="19" t="str">
        <f t="shared" si="2"/>
        <v/>
      </c>
      <c r="Z33" s="19" t="str">
        <f t="shared" si="2"/>
        <v/>
      </c>
      <c r="AA33" s="24"/>
      <c r="AB33" s="62"/>
      <c r="AC33"/>
      <c r="AD33" s="30" t="str">
        <f t="shared" si="15"/>
        <v/>
      </c>
      <c r="AE33" s="16" t="str">
        <f t="shared" si="3"/>
        <v/>
      </c>
      <c r="AF33" s="16" t="str">
        <f t="shared" si="3"/>
        <v/>
      </c>
      <c r="AG33" s="16" t="str">
        <f t="shared" si="3"/>
        <v/>
      </c>
      <c r="AH33" s="16" t="str">
        <f t="shared" si="3"/>
        <v/>
      </c>
      <c r="AI33" s="23"/>
      <c r="AJ33" s="61"/>
      <c r="AK33"/>
      <c r="AL33" s="44" t="str">
        <f t="shared" si="16"/>
        <v/>
      </c>
      <c r="AM33" s="19" t="str">
        <f t="shared" si="4"/>
        <v/>
      </c>
      <c r="AN33" s="19" t="str">
        <f t="shared" si="4"/>
        <v/>
      </c>
      <c r="AO33" s="19" t="str">
        <f t="shared" si="4"/>
        <v/>
      </c>
      <c r="AP33" s="19" t="str">
        <f t="shared" si="4"/>
        <v/>
      </c>
      <c r="AQ33" s="24"/>
      <c r="AR33" s="62"/>
      <c r="AS33"/>
      <c r="AT33" s="30" t="str">
        <f t="shared" si="17"/>
        <v/>
      </c>
      <c r="AU33" s="16" t="str">
        <f t="shared" si="5"/>
        <v/>
      </c>
      <c r="AV33" s="16" t="str">
        <f t="shared" si="5"/>
        <v/>
      </c>
      <c r="AW33" s="16" t="str">
        <f t="shared" si="5"/>
        <v/>
      </c>
      <c r="AX33" s="16" t="str">
        <f t="shared" si="5"/>
        <v/>
      </c>
      <c r="AY33" s="23"/>
      <c r="AZ33" s="61"/>
      <c r="BA33"/>
      <c r="BB33" s="44" t="str">
        <f t="shared" si="18"/>
        <v/>
      </c>
      <c r="BC33" s="19" t="str">
        <f t="shared" si="6"/>
        <v/>
      </c>
      <c r="BD33" s="19" t="str">
        <f t="shared" si="6"/>
        <v/>
      </c>
      <c r="BE33" s="19" t="str">
        <f t="shared" si="6"/>
        <v/>
      </c>
      <c r="BF33" s="19" t="str">
        <f t="shared" si="6"/>
        <v/>
      </c>
      <c r="BG33" s="24"/>
      <c r="BH33" s="62"/>
      <c r="BI33"/>
      <c r="BJ33" s="30" t="str">
        <f t="shared" si="19"/>
        <v/>
      </c>
      <c r="BK33" s="16" t="str">
        <f t="shared" si="7"/>
        <v/>
      </c>
      <c r="BL33" s="16" t="str">
        <f t="shared" si="7"/>
        <v/>
      </c>
      <c r="BM33" s="16" t="str">
        <f t="shared" si="7"/>
        <v/>
      </c>
      <c r="BN33" s="16" t="str">
        <f t="shared" si="7"/>
        <v/>
      </c>
      <c r="BO33" s="23"/>
      <c r="BP33" s="61"/>
      <c r="BQ33"/>
      <c r="BR33" s="44" t="str">
        <f t="shared" si="20"/>
        <v/>
      </c>
      <c r="BS33" s="19" t="str">
        <f t="shared" si="8"/>
        <v/>
      </c>
      <c r="BT33" s="19" t="str">
        <f t="shared" si="8"/>
        <v/>
      </c>
      <c r="BU33" s="19" t="str">
        <f t="shared" si="8"/>
        <v/>
      </c>
      <c r="BV33" s="19" t="str">
        <f t="shared" si="8"/>
        <v/>
      </c>
      <c r="BW33" s="24"/>
      <c r="BX33" s="62"/>
      <c r="BY33"/>
      <c r="BZ33" s="30" t="str">
        <f t="shared" si="21"/>
        <v/>
      </c>
      <c r="CA33" s="16" t="str">
        <f t="shared" si="9"/>
        <v/>
      </c>
      <c r="CB33" s="16" t="str">
        <f t="shared" si="9"/>
        <v/>
      </c>
      <c r="CC33" s="16" t="str">
        <f t="shared" si="9"/>
        <v/>
      </c>
      <c r="CD33" s="16" t="str">
        <f t="shared" si="9"/>
        <v/>
      </c>
      <c r="CE33" s="23"/>
      <c r="CF33" s="61"/>
      <c r="CG33"/>
      <c r="CH33" s="44" t="str">
        <f t="shared" si="22"/>
        <v/>
      </c>
      <c r="CI33" s="19" t="str">
        <f t="shared" si="10"/>
        <v/>
      </c>
      <c r="CJ33" s="19" t="str">
        <f t="shared" si="10"/>
        <v/>
      </c>
      <c r="CK33" s="19" t="str">
        <f t="shared" si="10"/>
        <v/>
      </c>
      <c r="CL33" s="19" t="str">
        <f t="shared" si="10"/>
        <v/>
      </c>
      <c r="CM33" s="24"/>
      <c r="CN33" s="62"/>
      <c r="CO33"/>
      <c r="CP33" s="30" t="str">
        <f t="shared" si="23"/>
        <v/>
      </c>
      <c r="CQ33" s="16" t="str">
        <f t="shared" si="11"/>
        <v/>
      </c>
      <c r="CR33" s="16" t="str">
        <f t="shared" si="11"/>
        <v/>
      </c>
      <c r="CS33" s="16" t="str">
        <f t="shared" si="11"/>
        <v/>
      </c>
      <c r="CT33" s="16" t="str">
        <f t="shared" si="11"/>
        <v/>
      </c>
      <c r="CU33" s="23"/>
      <c r="CV33" s="61"/>
      <c r="CW33"/>
      <c r="CX33" s="44" t="str">
        <f t="shared" si="24"/>
        <v/>
      </c>
      <c r="CY33" s="19" t="str">
        <f t="shared" si="12"/>
        <v/>
      </c>
      <c r="CZ33" s="19" t="str">
        <f t="shared" si="12"/>
        <v/>
      </c>
      <c r="DA33" s="19" t="str">
        <f t="shared" si="12"/>
        <v/>
      </c>
      <c r="DB33" s="19" t="str">
        <f t="shared" si="12"/>
        <v/>
      </c>
      <c r="DC33" s="24"/>
      <c r="DD33" s="62"/>
      <c r="DE33"/>
    </row>
    <row r="34" spans="1:109" s="15" customFormat="1" ht="10.5" customHeight="1" x14ac:dyDescent="0.25">
      <c r="A34" s="91"/>
      <c r="B34" s="11"/>
      <c r="C34" s="109"/>
      <c r="D34" s="102"/>
      <c r="E34" s="140"/>
      <c r="F34" s="44"/>
      <c r="G34" s="19"/>
      <c r="H34" s="19"/>
      <c r="I34" s="19"/>
      <c r="J34" s="19"/>
      <c r="K34" s="24"/>
      <c r="L34" s="45"/>
      <c r="M34" s="132"/>
      <c r="N34" s="30" t="str">
        <f t="shared" si="13"/>
        <v/>
      </c>
      <c r="O34" s="16" t="str">
        <f t="shared" si="13"/>
        <v/>
      </c>
      <c r="P34" s="16" t="str">
        <f t="shared" si="13"/>
        <v/>
      </c>
      <c r="Q34" s="16" t="str">
        <f t="shared" si="13"/>
        <v/>
      </c>
      <c r="R34" s="16" t="str">
        <f t="shared" si="13"/>
        <v/>
      </c>
      <c r="S34" s="23"/>
      <c r="T34" s="61"/>
      <c r="U34" s="123"/>
      <c r="V34" s="44" t="str">
        <f t="shared" si="14"/>
        <v/>
      </c>
      <c r="W34" s="19" t="str">
        <f t="shared" si="2"/>
        <v/>
      </c>
      <c r="X34" s="19" t="str">
        <f t="shared" si="2"/>
        <v/>
      </c>
      <c r="Y34" s="19" t="str">
        <f t="shared" si="2"/>
        <v/>
      </c>
      <c r="Z34" s="19" t="str">
        <f t="shared" si="2"/>
        <v/>
      </c>
      <c r="AA34" s="24"/>
      <c r="AB34" s="62"/>
      <c r="AC34" s="132"/>
      <c r="AD34" s="30" t="str">
        <f t="shared" si="15"/>
        <v/>
      </c>
      <c r="AE34" s="16" t="str">
        <f t="shared" si="3"/>
        <v/>
      </c>
      <c r="AF34" s="16" t="str">
        <f t="shared" si="3"/>
        <v/>
      </c>
      <c r="AG34" s="16" t="str">
        <f t="shared" si="3"/>
        <v/>
      </c>
      <c r="AH34" s="16" t="str">
        <f t="shared" si="3"/>
        <v/>
      </c>
      <c r="AI34" s="23"/>
      <c r="AJ34" s="61"/>
      <c r="AK34" s="123"/>
      <c r="AL34" s="44" t="str">
        <f t="shared" si="16"/>
        <v/>
      </c>
      <c r="AM34" s="19" t="str">
        <f t="shared" si="4"/>
        <v/>
      </c>
      <c r="AN34" s="19" t="str">
        <f t="shared" si="4"/>
        <v/>
      </c>
      <c r="AO34" s="19" t="str">
        <f t="shared" si="4"/>
        <v/>
      </c>
      <c r="AP34" s="19" t="str">
        <f t="shared" si="4"/>
        <v/>
      </c>
      <c r="AQ34" s="24"/>
      <c r="AR34" s="62"/>
      <c r="AS34" s="132"/>
      <c r="AT34" s="30" t="str">
        <f t="shared" si="17"/>
        <v/>
      </c>
      <c r="AU34" s="16" t="str">
        <f t="shared" si="5"/>
        <v/>
      </c>
      <c r="AV34" s="16" t="str">
        <f t="shared" si="5"/>
        <v/>
      </c>
      <c r="AW34" s="16" t="str">
        <f t="shared" si="5"/>
        <v/>
      </c>
      <c r="AX34" s="16" t="str">
        <f t="shared" si="5"/>
        <v/>
      </c>
      <c r="AY34" s="23"/>
      <c r="AZ34" s="61"/>
      <c r="BA34" s="123"/>
      <c r="BB34" s="44" t="str">
        <f t="shared" si="18"/>
        <v/>
      </c>
      <c r="BC34" s="19" t="str">
        <f t="shared" si="6"/>
        <v/>
      </c>
      <c r="BD34" s="19" t="str">
        <f t="shared" si="6"/>
        <v/>
      </c>
      <c r="BE34" s="19" t="str">
        <f t="shared" si="6"/>
        <v/>
      </c>
      <c r="BF34" s="19" t="str">
        <f t="shared" si="6"/>
        <v/>
      </c>
      <c r="BG34" s="24"/>
      <c r="BH34" s="62"/>
      <c r="BI34" s="132"/>
      <c r="BJ34" s="30" t="str">
        <f t="shared" si="19"/>
        <v/>
      </c>
      <c r="BK34" s="16" t="str">
        <f t="shared" si="7"/>
        <v/>
      </c>
      <c r="BL34" s="16" t="str">
        <f t="shared" si="7"/>
        <v/>
      </c>
      <c r="BM34" s="16" t="str">
        <f t="shared" si="7"/>
        <v/>
      </c>
      <c r="BN34" s="16" t="str">
        <f t="shared" si="7"/>
        <v/>
      </c>
      <c r="BO34" s="23"/>
      <c r="BP34" s="61"/>
      <c r="BQ34" s="123"/>
      <c r="BR34" s="44" t="str">
        <f t="shared" si="20"/>
        <v/>
      </c>
      <c r="BS34" s="19" t="str">
        <f t="shared" si="8"/>
        <v/>
      </c>
      <c r="BT34" s="19" t="str">
        <f t="shared" si="8"/>
        <v/>
      </c>
      <c r="BU34" s="19" t="str">
        <f t="shared" si="8"/>
        <v/>
      </c>
      <c r="BV34" s="19" t="str">
        <f t="shared" si="8"/>
        <v/>
      </c>
      <c r="BW34" s="24"/>
      <c r="BX34" s="62"/>
      <c r="BY34" s="132"/>
      <c r="BZ34" s="30" t="str">
        <f t="shared" si="21"/>
        <v/>
      </c>
      <c r="CA34" s="16" t="str">
        <f t="shared" si="9"/>
        <v/>
      </c>
      <c r="CB34" s="16" t="str">
        <f t="shared" si="9"/>
        <v/>
      </c>
      <c r="CC34" s="16" t="str">
        <f t="shared" si="9"/>
        <v/>
      </c>
      <c r="CD34" s="16" t="str">
        <f t="shared" si="9"/>
        <v/>
      </c>
      <c r="CE34" s="23"/>
      <c r="CF34" s="61"/>
      <c r="CG34" s="123"/>
      <c r="CH34" s="44" t="str">
        <f t="shared" si="22"/>
        <v/>
      </c>
      <c r="CI34" s="19" t="str">
        <f t="shared" si="10"/>
        <v/>
      </c>
      <c r="CJ34" s="19" t="str">
        <f t="shared" si="10"/>
        <v/>
      </c>
      <c r="CK34" s="19" t="str">
        <f t="shared" si="10"/>
        <v/>
      </c>
      <c r="CL34" s="19" t="str">
        <f t="shared" si="10"/>
        <v/>
      </c>
      <c r="CM34" s="24"/>
      <c r="CN34" s="62"/>
      <c r="CO34" s="132"/>
      <c r="CP34" s="30" t="str">
        <f t="shared" si="23"/>
        <v/>
      </c>
      <c r="CQ34" s="16" t="str">
        <f t="shared" si="11"/>
        <v/>
      </c>
      <c r="CR34" s="16" t="str">
        <f t="shared" si="11"/>
        <v/>
      </c>
      <c r="CS34" s="16" t="str">
        <f t="shared" si="11"/>
        <v/>
      </c>
      <c r="CT34" s="16" t="str">
        <f t="shared" si="11"/>
        <v/>
      </c>
      <c r="CU34" s="23"/>
      <c r="CV34" s="61"/>
      <c r="CW34" s="123"/>
      <c r="CX34" s="44" t="str">
        <f t="shared" si="24"/>
        <v/>
      </c>
      <c r="CY34" s="19" t="str">
        <f t="shared" si="12"/>
        <v/>
      </c>
      <c r="CZ34" s="19" t="str">
        <f t="shared" si="12"/>
        <v/>
      </c>
      <c r="DA34" s="19" t="str">
        <f t="shared" si="12"/>
        <v/>
      </c>
      <c r="DB34" s="19" t="str">
        <f t="shared" si="12"/>
        <v/>
      </c>
      <c r="DC34" s="24"/>
      <c r="DD34" s="62"/>
      <c r="DE34" s="132"/>
    </row>
    <row r="35" spans="1:109" x14ac:dyDescent="0.25">
      <c r="A35" s="105"/>
      <c r="B35" s="8"/>
      <c r="C35" s="110"/>
      <c r="D35" s="106" t="s">
        <v>7</v>
      </c>
      <c r="E35" s="142"/>
      <c r="F35" s="70"/>
      <c r="G35" s="71"/>
      <c r="H35" s="71"/>
      <c r="I35" s="72"/>
      <c r="J35" s="71"/>
      <c r="K35" s="69"/>
      <c r="L35" s="119"/>
      <c r="M35" s="134"/>
      <c r="N35" s="70"/>
      <c r="O35" s="71"/>
      <c r="P35" s="71"/>
      <c r="Q35" s="72"/>
      <c r="R35" s="71"/>
      <c r="S35" s="69"/>
      <c r="T35" s="73"/>
      <c r="U35" s="125"/>
      <c r="V35" s="70"/>
      <c r="W35" s="71"/>
      <c r="X35" s="71"/>
      <c r="Y35" s="72"/>
      <c r="Z35" s="71"/>
      <c r="AA35" s="69"/>
      <c r="AB35" s="73"/>
      <c r="AC35" s="134"/>
      <c r="AD35" s="70"/>
      <c r="AE35" s="71"/>
      <c r="AF35" s="71"/>
      <c r="AG35" s="72"/>
      <c r="AH35" s="71"/>
      <c r="AI35" s="69"/>
      <c r="AJ35" s="73"/>
      <c r="AK35" s="125"/>
      <c r="AL35" s="70"/>
      <c r="AM35" s="71"/>
      <c r="AN35" s="71"/>
      <c r="AO35" s="72"/>
      <c r="AP35" s="71"/>
      <c r="AQ35" s="69"/>
      <c r="AR35" s="73"/>
      <c r="AS35" s="134"/>
      <c r="AT35" s="70"/>
      <c r="AU35" s="71"/>
      <c r="AV35" s="71"/>
      <c r="AW35" s="72"/>
      <c r="AX35" s="71"/>
      <c r="AY35" s="69"/>
      <c r="AZ35" s="73"/>
      <c r="BA35" s="125"/>
      <c r="BB35" s="70"/>
      <c r="BC35" s="71"/>
      <c r="BD35" s="71"/>
      <c r="BE35" s="72"/>
      <c r="BF35" s="71"/>
      <c r="BG35" s="69"/>
      <c r="BH35" s="73"/>
      <c r="BI35" s="134"/>
      <c r="BJ35" s="70"/>
      <c r="BK35" s="71"/>
      <c r="BL35" s="71"/>
      <c r="BM35" s="72"/>
      <c r="BN35" s="71"/>
      <c r="BO35" s="69"/>
      <c r="BP35" s="73"/>
      <c r="BQ35" s="125"/>
      <c r="BR35" s="70"/>
      <c r="BS35" s="71"/>
      <c r="BT35" s="71"/>
      <c r="BU35" s="72"/>
      <c r="BV35" s="71"/>
      <c r="BW35" s="69"/>
      <c r="BX35" s="73"/>
      <c r="BY35" s="134"/>
      <c r="BZ35" s="70"/>
      <c r="CA35" s="71"/>
      <c r="CB35" s="71"/>
      <c r="CC35" s="72"/>
      <c r="CD35" s="71"/>
      <c r="CE35" s="69"/>
      <c r="CF35" s="73"/>
      <c r="CG35" s="125"/>
      <c r="CH35" s="70"/>
      <c r="CI35" s="71"/>
      <c r="CJ35" s="71"/>
      <c r="CK35" s="72"/>
      <c r="CL35" s="71"/>
      <c r="CM35" s="69"/>
      <c r="CN35" s="73"/>
      <c r="CO35" s="134"/>
      <c r="CP35" s="70"/>
      <c r="CQ35" s="71"/>
      <c r="CR35" s="71"/>
      <c r="CS35" s="72"/>
      <c r="CT35" s="71"/>
      <c r="CU35" s="69"/>
      <c r="CV35" s="73"/>
      <c r="CW35" s="125"/>
      <c r="CX35" s="70"/>
      <c r="CY35" s="71"/>
      <c r="CZ35" s="71"/>
      <c r="DA35" s="72"/>
      <c r="DB35" s="71"/>
      <c r="DC35" s="69"/>
      <c r="DD35" s="73"/>
      <c r="DE35" s="134"/>
    </row>
    <row r="36" spans="1:109" ht="13" x14ac:dyDescent="0.3">
      <c r="A36" s="148"/>
      <c r="B36" s="9"/>
      <c r="C36" s="111"/>
      <c r="D36" s="149">
        <f>AVERAGE(K36,S36,AA36,AI36,AQ36,AY36,BG36,BO36,BW36,CE36,CM36,CU36,DC36)</f>
        <v>0</v>
      </c>
      <c r="E36" s="143"/>
      <c r="F36" s="48">
        <f>SUM(F7:F35)</f>
        <v>0</v>
      </c>
      <c r="G36" s="21">
        <f>SUM(G7:G35)</f>
        <v>0</v>
      </c>
      <c r="H36" s="21">
        <f>SUM(H7:H35)</f>
        <v>0</v>
      </c>
      <c r="I36" s="21">
        <f>SUM(I7:I35)</f>
        <v>0</v>
      </c>
      <c r="J36" s="21">
        <f>SUM(J7:J35)</f>
        <v>0</v>
      </c>
      <c r="K36" s="129">
        <f>AVERAGE(F36:J36)</f>
        <v>0</v>
      </c>
      <c r="L36" s="47"/>
      <c r="M36" s="151"/>
      <c r="N36" s="152">
        <f>SUM(N7:N35)</f>
        <v>0</v>
      </c>
      <c r="O36" s="153">
        <f>SUM(O7:O35)</f>
        <v>0</v>
      </c>
      <c r="P36" s="154">
        <f>SUM(P7:P35)</f>
        <v>0</v>
      </c>
      <c r="Q36" s="153">
        <f>SUM(Q7:Q35)</f>
        <v>0</v>
      </c>
      <c r="R36" s="153">
        <f>SUM(R7:R35)</f>
        <v>0</v>
      </c>
      <c r="S36" s="116">
        <f>AVERAGE(N36:R36)</f>
        <v>0</v>
      </c>
      <c r="T36" s="32"/>
      <c r="U36" s="155"/>
      <c r="V36" s="156">
        <f>SUM(V7:V35)</f>
        <v>0</v>
      </c>
      <c r="W36" s="157">
        <f>SUM(W7:W35)</f>
        <v>0</v>
      </c>
      <c r="X36" s="158">
        <f>SUM(X7:X35)</f>
        <v>0</v>
      </c>
      <c r="Y36" s="157">
        <f>SUM(Y7:Y35)</f>
        <v>0</v>
      </c>
      <c r="Z36" s="157">
        <f>SUM(Z7:Z35)</f>
        <v>0</v>
      </c>
      <c r="AA36" s="129">
        <f>AVERAGE(V36:Z36)</f>
        <v>0</v>
      </c>
      <c r="AB36" s="47"/>
      <c r="AC36" s="151"/>
      <c r="AD36" s="152">
        <f>SUM(AD7:AD35)</f>
        <v>0</v>
      </c>
      <c r="AE36" s="153">
        <f>SUM(AE7:AE35)</f>
        <v>0</v>
      </c>
      <c r="AF36" s="154">
        <f>SUM(AF7:AF35)</f>
        <v>0</v>
      </c>
      <c r="AG36" s="153">
        <f>SUM(AG7:AG35)</f>
        <v>0</v>
      </c>
      <c r="AH36" s="153">
        <f>SUM(AH7:AH35)</f>
        <v>0</v>
      </c>
      <c r="AI36" s="116">
        <f>AVERAGE(AD36:AH36)</f>
        <v>0</v>
      </c>
      <c r="AJ36" s="32"/>
      <c r="AK36" s="155"/>
      <c r="AL36" s="156">
        <f>SUM(AL7:AL35)</f>
        <v>0</v>
      </c>
      <c r="AM36" s="157">
        <f>SUM(AM7:AM35)</f>
        <v>0</v>
      </c>
      <c r="AN36" s="158">
        <f>SUM(AN7:AN35)</f>
        <v>0</v>
      </c>
      <c r="AO36" s="157">
        <f>SUM(AO7:AO35)</f>
        <v>0</v>
      </c>
      <c r="AP36" s="157">
        <f>SUM(AP7:AP35)</f>
        <v>0</v>
      </c>
      <c r="AQ36" s="129">
        <f>AVERAGE(AL36:AP36)</f>
        <v>0</v>
      </c>
      <c r="AR36" s="47"/>
      <c r="AS36" s="151"/>
      <c r="AT36" s="152">
        <f>SUM(AT7:AT35)</f>
        <v>0</v>
      </c>
      <c r="AU36" s="153">
        <f>SUM(AU7:AU35)</f>
        <v>0</v>
      </c>
      <c r="AV36" s="154">
        <f>SUM(AV7:AV35)</f>
        <v>0</v>
      </c>
      <c r="AW36" s="153">
        <f>SUM(AW7:AW35)</f>
        <v>0</v>
      </c>
      <c r="AX36" s="153">
        <f>SUM(AX7:AX35)</f>
        <v>0</v>
      </c>
      <c r="AY36" s="116">
        <f>AVERAGE(AT36:AX36)</f>
        <v>0</v>
      </c>
      <c r="AZ36" s="32"/>
      <c r="BA36" s="155"/>
      <c r="BB36" s="156">
        <f>SUM(BB7:BB35)</f>
        <v>0</v>
      </c>
      <c r="BC36" s="157">
        <f>SUM(BC7:BC35)</f>
        <v>0</v>
      </c>
      <c r="BD36" s="158">
        <f>SUM(BD7:BD35)</f>
        <v>0</v>
      </c>
      <c r="BE36" s="157">
        <f>SUM(BE7:BE35)</f>
        <v>0</v>
      </c>
      <c r="BF36" s="157">
        <f>SUM(BF7:BF35)</f>
        <v>0</v>
      </c>
      <c r="BG36" s="129">
        <f>AVERAGE(BB36:BF36)</f>
        <v>0</v>
      </c>
      <c r="BH36" s="47"/>
      <c r="BI36" s="151"/>
      <c r="BJ36" s="152">
        <f>SUM(BJ7:BJ35)</f>
        <v>0</v>
      </c>
      <c r="BK36" s="153">
        <f>SUM(BK7:BK35)</f>
        <v>0</v>
      </c>
      <c r="BL36" s="154">
        <f>SUM(BL7:BL35)</f>
        <v>0</v>
      </c>
      <c r="BM36" s="153">
        <f>SUM(BM7:BM35)</f>
        <v>0</v>
      </c>
      <c r="BN36" s="153">
        <f>SUM(BN7:BN35)</f>
        <v>0</v>
      </c>
      <c r="BO36" s="116">
        <f>AVERAGE(BJ36:BN36)</f>
        <v>0</v>
      </c>
      <c r="BP36" s="32"/>
      <c r="BQ36" s="155"/>
      <c r="BR36" s="156">
        <f>SUM(BR7:BR35)</f>
        <v>0</v>
      </c>
      <c r="BS36" s="157">
        <f>SUM(BS7:BS35)</f>
        <v>0</v>
      </c>
      <c r="BT36" s="158">
        <f>SUM(BT7:BT35)</f>
        <v>0</v>
      </c>
      <c r="BU36" s="157">
        <f>SUM(BU7:BU35)</f>
        <v>0</v>
      </c>
      <c r="BV36" s="157">
        <f>SUM(BV7:BV35)</f>
        <v>0</v>
      </c>
      <c r="BW36" s="129">
        <f>AVERAGE(BR36:BV36)</f>
        <v>0</v>
      </c>
      <c r="BX36" s="47"/>
      <c r="BY36" s="151"/>
      <c r="BZ36" s="152">
        <f>SUM(BZ7:BZ35)</f>
        <v>0</v>
      </c>
      <c r="CA36" s="153">
        <f>SUM(CA7:CA35)</f>
        <v>0</v>
      </c>
      <c r="CB36" s="154">
        <f>SUM(CB7:CB35)</f>
        <v>0</v>
      </c>
      <c r="CC36" s="153">
        <f>SUM(CC7:CC35)</f>
        <v>0</v>
      </c>
      <c r="CD36" s="153">
        <f>SUM(CD7:CD35)</f>
        <v>0</v>
      </c>
      <c r="CE36" s="116">
        <f>AVERAGE(BZ36:CD36)</f>
        <v>0</v>
      </c>
      <c r="CF36" s="32"/>
      <c r="CG36" s="155"/>
      <c r="CH36" s="156">
        <f>SUM(CH7:CH35)</f>
        <v>0</v>
      </c>
      <c r="CI36" s="157">
        <f>SUM(CI7:CI35)</f>
        <v>0</v>
      </c>
      <c r="CJ36" s="158">
        <f>SUM(CJ7:CJ35)</f>
        <v>0</v>
      </c>
      <c r="CK36" s="157">
        <f>SUM(CK7:CK35)</f>
        <v>0</v>
      </c>
      <c r="CL36" s="157">
        <f>SUM(CL7:CL35)</f>
        <v>0</v>
      </c>
      <c r="CM36" s="129">
        <f>AVERAGE(CH36:CL36)</f>
        <v>0</v>
      </c>
      <c r="CN36" s="47"/>
      <c r="CO36" s="151"/>
      <c r="CP36" s="152">
        <f>SUM(CP7:CP35)</f>
        <v>0</v>
      </c>
      <c r="CQ36" s="153">
        <f>SUM(CQ7:CQ35)</f>
        <v>0</v>
      </c>
      <c r="CR36" s="154">
        <f>SUM(CR7:CR35)</f>
        <v>0</v>
      </c>
      <c r="CS36" s="153">
        <f>SUM(CS7:CS35)</f>
        <v>0</v>
      </c>
      <c r="CT36" s="153">
        <f>SUM(CT7:CT35)</f>
        <v>0</v>
      </c>
      <c r="CU36" s="116">
        <f>AVERAGE(CP36:CT36)</f>
        <v>0</v>
      </c>
      <c r="CV36" s="32"/>
      <c r="CW36" s="155"/>
      <c r="CX36" s="156">
        <f>SUM(CX7:CX35)</f>
        <v>0</v>
      </c>
      <c r="CY36" s="157">
        <f>SUM(CY7:CY35)</f>
        <v>0</v>
      </c>
      <c r="CZ36" s="158">
        <f>SUM(CZ7:CZ35)</f>
        <v>0</v>
      </c>
      <c r="DA36" s="157">
        <f>SUM(DA7:DA35)</f>
        <v>0</v>
      </c>
      <c r="DB36" s="157">
        <f>SUM(DB7:DB35)</f>
        <v>0</v>
      </c>
      <c r="DC36" s="129">
        <f>AVERAGE(CX36:DB36)</f>
        <v>0</v>
      </c>
      <c r="DD36" s="47"/>
      <c r="DE36" s="135"/>
    </row>
    <row r="37" spans="1:109" ht="13" x14ac:dyDescent="0.3">
      <c r="A37" s="93" t="s">
        <v>10</v>
      </c>
      <c r="B37" s="3"/>
      <c r="C37" s="3"/>
      <c r="D37" s="107">
        <v>12.5</v>
      </c>
      <c r="E37" s="96"/>
      <c r="F37" s="48">
        <f>$D$37</f>
        <v>12.5</v>
      </c>
      <c r="G37" s="21">
        <f t="shared" ref="G37:J37" si="25">$D$37</f>
        <v>12.5</v>
      </c>
      <c r="H37" s="21">
        <f t="shared" si="25"/>
        <v>12.5</v>
      </c>
      <c r="I37" s="21">
        <f t="shared" si="25"/>
        <v>12.5</v>
      </c>
      <c r="J37" s="21">
        <f t="shared" si="25"/>
        <v>12.5</v>
      </c>
      <c r="K37" s="129">
        <f>AVERAGE(F37:J37)</f>
        <v>12.5</v>
      </c>
      <c r="L37" s="47"/>
      <c r="M37" s="95"/>
      <c r="N37" s="33">
        <v>12.5</v>
      </c>
      <c r="O37" s="18">
        <v>12.5</v>
      </c>
      <c r="P37" s="18">
        <v>12.5</v>
      </c>
      <c r="Q37" s="18">
        <v>12.5</v>
      </c>
      <c r="R37" s="18">
        <v>12.5</v>
      </c>
      <c r="S37" s="116">
        <f>AVERAGE(N37:R37)</f>
        <v>12.5</v>
      </c>
      <c r="T37" s="32"/>
      <c r="U37" s="126"/>
      <c r="V37" s="48">
        <v>12.5</v>
      </c>
      <c r="W37" s="21">
        <v>12.5</v>
      </c>
      <c r="X37" s="21">
        <v>12.5</v>
      </c>
      <c r="Y37" s="21">
        <v>12.5</v>
      </c>
      <c r="Z37" s="21">
        <v>12.5</v>
      </c>
      <c r="AA37" s="129">
        <f>AVERAGE(V37:Z37)</f>
        <v>12.5</v>
      </c>
      <c r="AB37" s="47"/>
      <c r="AC37" s="95"/>
      <c r="AD37" s="33">
        <v>12.5</v>
      </c>
      <c r="AE37" s="18">
        <v>12.5</v>
      </c>
      <c r="AF37" s="18">
        <v>12.5</v>
      </c>
      <c r="AG37" s="18">
        <v>12.5</v>
      </c>
      <c r="AH37" s="18">
        <v>12.5</v>
      </c>
      <c r="AI37" s="116">
        <f>AVERAGE(AD37:AH37)</f>
        <v>12.5</v>
      </c>
      <c r="AJ37" s="32"/>
      <c r="AK37" s="126"/>
      <c r="AL37" s="48">
        <v>12.5</v>
      </c>
      <c r="AM37" s="21">
        <v>12.5</v>
      </c>
      <c r="AN37" s="21">
        <v>12.5</v>
      </c>
      <c r="AO37" s="21">
        <v>12.5</v>
      </c>
      <c r="AP37" s="21">
        <v>12.5</v>
      </c>
      <c r="AQ37" s="129">
        <f>AVERAGE(AL37:AP37)</f>
        <v>12.5</v>
      </c>
      <c r="AR37" s="47"/>
      <c r="AS37" s="95"/>
      <c r="AT37" s="33">
        <v>12.5</v>
      </c>
      <c r="AU37" s="18">
        <v>12.5</v>
      </c>
      <c r="AV37" s="18">
        <v>12.5</v>
      </c>
      <c r="AW37" s="18">
        <v>12.5</v>
      </c>
      <c r="AX37" s="18">
        <v>12.5</v>
      </c>
      <c r="AY37" s="116">
        <f>AVERAGE(AT37:AX37)</f>
        <v>12.5</v>
      </c>
      <c r="AZ37" s="32"/>
      <c r="BA37" s="126"/>
      <c r="BB37" s="48">
        <v>12.5</v>
      </c>
      <c r="BC37" s="21">
        <v>12.5</v>
      </c>
      <c r="BD37" s="21">
        <v>12.5</v>
      </c>
      <c r="BE37" s="21">
        <v>12.5</v>
      </c>
      <c r="BF37" s="21">
        <v>12.5</v>
      </c>
      <c r="BG37" s="129">
        <f>AVERAGE(BB37:BF37)</f>
        <v>12.5</v>
      </c>
      <c r="BH37" s="47"/>
      <c r="BI37" s="95"/>
      <c r="BJ37" s="33">
        <v>12.5</v>
      </c>
      <c r="BK37" s="18">
        <v>12.5</v>
      </c>
      <c r="BL37" s="18">
        <v>12.5</v>
      </c>
      <c r="BM37" s="18">
        <v>12.5</v>
      </c>
      <c r="BN37" s="18">
        <v>12.5</v>
      </c>
      <c r="BO37" s="116">
        <f>AVERAGE(BJ37:BN37)</f>
        <v>12.5</v>
      </c>
      <c r="BP37" s="32"/>
      <c r="BQ37" s="126"/>
      <c r="BR37" s="48">
        <v>12.5</v>
      </c>
      <c r="BS37" s="21">
        <v>12.5</v>
      </c>
      <c r="BT37" s="21">
        <v>12.5</v>
      </c>
      <c r="BU37" s="21">
        <v>12.5</v>
      </c>
      <c r="BV37" s="21">
        <v>12.5</v>
      </c>
      <c r="BW37" s="129">
        <f>AVERAGE(BR37:BV37)</f>
        <v>12.5</v>
      </c>
      <c r="BX37" s="47"/>
      <c r="BY37" s="95"/>
      <c r="BZ37" s="33">
        <v>12.5</v>
      </c>
      <c r="CA37" s="18">
        <v>12.5</v>
      </c>
      <c r="CB37" s="18">
        <v>12.5</v>
      </c>
      <c r="CC37" s="18">
        <v>12.5</v>
      </c>
      <c r="CD37" s="18">
        <v>12.5</v>
      </c>
      <c r="CE37" s="116">
        <f>AVERAGE(BZ37:CD37)</f>
        <v>12.5</v>
      </c>
      <c r="CF37" s="32"/>
      <c r="CG37" s="126"/>
      <c r="CH37" s="48">
        <v>12.5</v>
      </c>
      <c r="CI37" s="21">
        <v>12.5</v>
      </c>
      <c r="CJ37" s="21">
        <v>12.5</v>
      </c>
      <c r="CK37" s="21">
        <v>12.5</v>
      </c>
      <c r="CL37" s="21">
        <v>12.5</v>
      </c>
      <c r="CM37" s="129">
        <f>AVERAGE(CH37:CL37)</f>
        <v>12.5</v>
      </c>
      <c r="CN37" s="47"/>
      <c r="CO37" s="95"/>
      <c r="CP37" s="33">
        <v>12.5</v>
      </c>
      <c r="CQ37" s="18">
        <v>12.5</v>
      </c>
      <c r="CR37" s="18">
        <v>12.5</v>
      </c>
      <c r="CS37" s="18">
        <v>12.5</v>
      </c>
      <c r="CT37" s="18">
        <v>12.5</v>
      </c>
      <c r="CU37" s="116">
        <f>AVERAGE(CP37:CT37)</f>
        <v>12.5</v>
      </c>
      <c r="CV37" s="32"/>
      <c r="CW37" s="126"/>
      <c r="CX37" s="48">
        <v>12.5</v>
      </c>
      <c r="CY37" s="21">
        <v>12.5</v>
      </c>
      <c r="CZ37" s="21">
        <v>12.5</v>
      </c>
      <c r="DA37" s="21">
        <v>12.5</v>
      </c>
      <c r="DB37" s="21">
        <v>12.5</v>
      </c>
      <c r="DC37" s="129">
        <f>AVERAGE(CX37:DB37)</f>
        <v>12.5</v>
      </c>
      <c r="DD37" s="47"/>
      <c r="DE37" s="95"/>
    </row>
    <row r="38" spans="1:109" ht="13" x14ac:dyDescent="0.3">
      <c r="A38" s="94" t="s">
        <v>8</v>
      </c>
      <c r="B38" s="10"/>
      <c r="C38" s="112"/>
      <c r="D38" s="150">
        <f>AVERAGE(K38,S38,AA38,AI38,AQ38,AY38,BG38,BO38,BW38,CE38,CM38,CU38,DC38)</f>
        <v>0</v>
      </c>
      <c r="E38" s="144"/>
      <c r="F38" s="49">
        <f>(F36*100)/F37</f>
        <v>0</v>
      </c>
      <c r="G38" s="22">
        <f t="shared" ref="G38:K38" si="26">(G36*100)/G37</f>
        <v>0</v>
      </c>
      <c r="H38" s="22">
        <f t="shared" si="26"/>
        <v>0</v>
      </c>
      <c r="I38" s="22">
        <f t="shared" si="26"/>
        <v>0</v>
      </c>
      <c r="J38" s="22">
        <f t="shared" si="26"/>
        <v>0</v>
      </c>
      <c r="K38" s="129">
        <f t="shared" si="26"/>
        <v>0</v>
      </c>
      <c r="L38" s="47"/>
      <c r="M38" s="136"/>
      <c r="N38" s="84">
        <f>(N36*100)/N37</f>
        <v>0</v>
      </c>
      <c r="O38" s="85">
        <f t="shared" ref="O38:S38" si="27">(O36*100)/O37</f>
        <v>0</v>
      </c>
      <c r="P38" s="85">
        <f t="shared" si="27"/>
        <v>0</v>
      </c>
      <c r="Q38" s="85">
        <f t="shared" si="27"/>
        <v>0</v>
      </c>
      <c r="R38" s="85">
        <f t="shared" si="27"/>
        <v>0</v>
      </c>
      <c r="S38" s="116">
        <f t="shared" si="27"/>
        <v>0</v>
      </c>
      <c r="T38" s="32"/>
      <c r="U38" s="127"/>
      <c r="V38" s="86">
        <f>(V36*100)/V37</f>
        <v>0</v>
      </c>
      <c r="W38" s="87">
        <f t="shared" ref="W38:Z38" si="28">(W36*100)/W37</f>
        <v>0</v>
      </c>
      <c r="X38" s="87">
        <f t="shared" si="28"/>
        <v>0</v>
      </c>
      <c r="Y38" s="87">
        <f t="shared" si="28"/>
        <v>0</v>
      </c>
      <c r="Z38" s="87">
        <f t="shared" si="28"/>
        <v>0</v>
      </c>
      <c r="AA38" s="129">
        <f>(AA36*100)/AA37</f>
        <v>0</v>
      </c>
      <c r="AB38" s="47"/>
      <c r="AC38" s="136"/>
      <c r="AD38" s="84">
        <f>(AD36*100)/AD37</f>
        <v>0</v>
      </c>
      <c r="AE38" s="85">
        <f t="shared" ref="AE38:AI38" si="29">(AE36*100)/AE37</f>
        <v>0</v>
      </c>
      <c r="AF38" s="85">
        <f t="shared" si="29"/>
        <v>0</v>
      </c>
      <c r="AG38" s="85">
        <f t="shared" si="29"/>
        <v>0</v>
      </c>
      <c r="AH38" s="85">
        <f t="shared" si="29"/>
        <v>0</v>
      </c>
      <c r="AI38" s="116">
        <f t="shared" si="29"/>
        <v>0</v>
      </c>
      <c r="AJ38" s="32"/>
      <c r="AK38" s="127"/>
      <c r="AL38" s="86">
        <f>(AL36*100)/AL37</f>
        <v>0</v>
      </c>
      <c r="AM38" s="87">
        <f t="shared" ref="AM38:AP38" si="30">(AM36*100)/AM37</f>
        <v>0</v>
      </c>
      <c r="AN38" s="87">
        <f t="shared" si="30"/>
        <v>0</v>
      </c>
      <c r="AO38" s="87">
        <f t="shared" si="30"/>
        <v>0</v>
      </c>
      <c r="AP38" s="87">
        <f t="shared" si="30"/>
        <v>0</v>
      </c>
      <c r="AQ38" s="129">
        <f>(AQ36*100)/AQ37</f>
        <v>0</v>
      </c>
      <c r="AR38" s="47"/>
      <c r="AS38" s="136"/>
      <c r="AT38" s="84">
        <f>(AT36*100)/AT37</f>
        <v>0</v>
      </c>
      <c r="AU38" s="85">
        <f t="shared" ref="AU38:AY38" si="31">(AU36*100)/AU37</f>
        <v>0</v>
      </c>
      <c r="AV38" s="85">
        <f t="shared" si="31"/>
        <v>0</v>
      </c>
      <c r="AW38" s="85">
        <f t="shared" si="31"/>
        <v>0</v>
      </c>
      <c r="AX38" s="85">
        <f t="shared" si="31"/>
        <v>0</v>
      </c>
      <c r="AY38" s="116">
        <f t="shared" si="31"/>
        <v>0</v>
      </c>
      <c r="AZ38" s="32"/>
      <c r="BA38" s="127"/>
      <c r="BB38" s="86">
        <f>(BB36*100)/BB37</f>
        <v>0</v>
      </c>
      <c r="BC38" s="87">
        <f t="shared" ref="BC38:BF38" si="32">(BC36*100)/BC37</f>
        <v>0</v>
      </c>
      <c r="BD38" s="87">
        <f t="shared" si="32"/>
        <v>0</v>
      </c>
      <c r="BE38" s="87">
        <f t="shared" si="32"/>
        <v>0</v>
      </c>
      <c r="BF38" s="87">
        <f t="shared" si="32"/>
        <v>0</v>
      </c>
      <c r="BG38" s="129">
        <f>(BG36*100)/BG37</f>
        <v>0</v>
      </c>
      <c r="BH38" s="47"/>
      <c r="BI38" s="136"/>
      <c r="BJ38" s="84">
        <f>(BJ36*100)/BJ37</f>
        <v>0</v>
      </c>
      <c r="BK38" s="85">
        <f t="shared" ref="BK38:BO38" si="33">(BK36*100)/BK37</f>
        <v>0</v>
      </c>
      <c r="BL38" s="85">
        <f t="shared" si="33"/>
        <v>0</v>
      </c>
      <c r="BM38" s="85">
        <f t="shared" si="33"/>
        <v>0</v>
      </c>
      <c r="BN38" s="85">
        <f t="shared" si="33"/>
        <v>0</v>
      </c>
      <c r="BO38" s="116">
        <f t="shared" si="33"/>
        <v>0</v>
      </c>
      <c r="BP38" s="32"/>
      <c r="BQ38" s="127"/>
      <c r="BR38" s="86">
        <f>(BR36*100)/BR37</f>
        <v>0</v>
      </c>
      <c r="BS38" s="87">
        <f t="shared" ref="BS38:BV38" si="34">(BS36*100)/BS37</f>
        <v>0</v>
      </c>
      <c r="BT38" s="87">
        <f t="shared" si="34"/>
        <v>0</v>
      </c>
      <c r="BU38" s="87">
        <f t="shared" si="34"/>
        <v>0</v>
      </c>
      <c r="BV38" s="87">
        <f t="shared" si="34"/>
        <v>0</v>
      </c>
      <c r="BW38" s="129">
        <f>(BW36*100)/BW37</f>
        <v>0</v>
      </c>
      <c r="BX38" s="47"/>
      <c r="BY38" s="136"/>
      <c r="BZ38" s="84">
        <f>(BZ36*100)/BZ37</f>
        <v>0</v>
      </c>
      <c r="CA38" s="85">
        <f t="shared" ref="CA38:CE38" si="35">(CA36*100)/CA37</f>
        <v>0</v>
      </c>
      <c r="CB38" s="85">
        <f t="shared" si="35"/>
        <v>0</v>
      </c>
      <c r="CC38" s="85">
        <f t="shared" si="35"/>
        <v>0</v>
      </c>
      <c r="CD38" s="85">
        <f t="shared" si="35"/>
        <v>0</v>
      </c>
      <c r="CE38" s="116">
        <f t="shared" si="35"/>
        <v>0</v>
      </c>
      <c r="CF38" s="32"/>
      <c r="CG38" s="127"/>
      <c r="CH38" s="86">
        <f>(CH36*100)/CH37</f>
        <v>0</v>
      </c>
      <c r="CI38" s="87">
        <f t="shared" ref="CI38:CL38" si="36">(CI36*100)/CI37</f>
        <v>0</v>
      </c>
      <c r="CJ38" s="87">
        <f t="shared" si="36"/>
        <v>0</v>
      </c>
      <c r="CK38" s="87">
        <f t="shared" si="36"/>
        <v>0</v>
      </c>
      <c r="CL38" s="87">
        <f t="shared" si="36"/>
        <v>0</v>
      </c>
      <c r="CM38" s="129">
        <f>(CM36*100)/CM37</f>
        <v>0</v>
      </c>
      <c r="CN38" s="47"/>
      <c r="CO38" s="136"/>
      <c r="CP38" s="84">
        <f>(CP36*100)/CP37</f>
        <v>0</v>
      </c>
      <c r="CQ38" s="85">
        <f t="shared" ref="CQ38:CU38" si="37">(CQ36*100)/CQ37</f>
        <v>0</v>
      </c>
      <c r="CR38" s="85">
        <f t="shared" si="37"/>
        <v>0</v>
      </c>
      <c r="CS38" s="85">
        <f t="shared" si="37"/>
        <v>0</v>
      </c>
      <c r="CT38" s="85">
        <f t="shared" si="37"/>
        <v>0</v>
      </c>
      <c r="CU38" s="116">
        <f t="shared" si="37"/>
        <v>0</v>
      </c>
      <c r="CV38" s="32"/>
      <c r="CW38" s="127"/>
      <c r="CX38" s="86">
        <f>(CX36*100)/CX37</f>
        <v>0</v>
      </c>
      <c r="CY38" s="87">
        <f t="shared" ref="CY38:DB38" si="38">(CY36*100)/CY37</f>
        <v>0</v>
      </c>
      <c r="CZ38" s="87">
        <f t="shared" si="38"/>
        <v>0</v>
      </c>
      <c r="DA38" s="87">
        <f t="shared" si="38"/>
        <v>0</v>
      </c>
      <c r="DB38" s="87">
        <f t="shared" si="38"/>
        <v>0</v>
      </c>
      <c r="DC38" s="129">
        <f>(DC36*100)/DC37</f>
        <v>0</v>
      </c>
      <c r="DD38" s="47"/>
      <c r="DE38" s="136"/>
    </row>
    <row r="39" spans="1:109" x14ac:dyDescent="0.25">
      <c r="A39" s="95" t="s">
        <v>21</v>
      </c>
      <c r="B39" s="3"/>
      <c r="C39" s="3"/>
      <c r="D39" s="96"/>
      <c r="E39" s="96"/>
      <c r="F39" s="48">
        <f>COUNT(F7:F34)</f>
        <v>0</v>
      </c>
      <c r="G39" s="21">
        <f>COUNT(G7:G34)</f>
        <v>0</v>
      </c>
      <c r="H39" s="21">
        <f>COUNT(H7:H34)</f>
        <v>0</v>
      </c>
      <c r="I39" s="21">
        <f>COUNT(I7:I34)</f>
        <v>0</v>
      </c>
      <c r="J39" s="21">
        <f>COUNT(J7:J34)</f>
        <v>0</v>
      </c>
      <c r="K39" s="42"/>
      <c r="L39" s="50"/>
      <c r="M39" s="95"/>
      <c r="N39" s="33">
        <f>COUNT(N7:N34)</f>
        <v>0</v>
      </c>
      <c r="O39" s="18">
        <f>COUNT(O7:O34)</f>
        <v>0</v>
      </c>
      <c r="P39" s="18">
        <f>COUNT(P7:P34)</f>
        <v>0</v>
      </c>
      <c r="Q39" s="18">
        <f>COUNT(Q7:Q34)</f>
        <v>0</v>
      </c>
      <c r="R39" s="18">
        <f>COUNT(R7:R34)</f>
        <v>0</v>
      </c>
      <c r="S39" s="28"/>
      <c r="T39" s="34"/>
      <c r="U39" s="126"/>
      <c r="V39" s="48">
        <f>COUNT(V7:V34)</f>
        <v>0</v>
      </c>
      <c r="W39" s="21">
        <f>COUNT(W7:W34)</f>
        <v>0</v>
      </c>
      <c r="X39" s="21">
        <f>COUNT(X7:X34)</f>
        <v>0</v>
      </c>
      <c r="Y39" s="21">
        <f>COUNT(Y7:Y34)</f>
        <v>0</v>
      </c>
      <c r="Z39" s="21">
        <f>COUNT(Z7:Z34)</f>
        <v>0</v>
      </c>
      <c r="AA39" s="42"/>
      <c r="AB39" s="50"/>
      <c r="AC39" s="95"/>
      <c r="AD39" s="33">
        <f>COUNT(AD7:AD34)</f>
        <v>0</v>
      </c>
      <c r="AE39" s="18">
        <f>COUNT(AE7:AE34)</f>
        <v>0</v>
      </c>
      <c r="AF39" s="18">
        <f>COUNT(AF7:AF34)</f>
        <v>0</v>
      </c>
      <c r="AG39" s="18">
        <f>COUNT(AG7:AG34)</f>
        <v>0</v>
      </c>
      <c r="AH39" s="18">
        <f>COUNT(AH7:AH34)</f>
        <v>0</v>
      </c>
      <c r="AI39" s="28"/>
      <c r="AJ39" s="34"/>
      <c r="AK39" s="126"/>
      <c r="AL39" s="48">
        <f>COUNT(AL7:AL34)</f>
        <v>0</v>
      </c>
      <c r="AM39" s="21">
        <f>COUNT(AM7:AM34)</f>
        <v>0</v>
      </c>
      <c r="AN39" s="21">
        <f>COUNT(AN7:AN34)</f>
        <v>0</v>
      </c>
      <c r="AO39" s="21">
        <f>COUNT(AO7:AO34)</f>
        <v>0</v>
      </c>
      <c r="AP39" s="21">
        <f>COUNT(AP7:AP34)</f>
        <v>0</v>
      </c>
      <c r="AQ39" s="42"/>
      <c r="AR39" s="50"/>
      <c r="AS39" s="95"/>
      <c r="AT39" s="33">
        <f>COUNT(AT7:AT34)</f>
        <v>0</v>
      </c>
      <c r="AU39" s="18">
        <f>COUNT(AU7:AU34)</f>
        <v>0</v>
      </c>
      <c r="AV39" s="18">
        <f>COUNT(AV7:AV34)</f>
        <v>0</v>
      </c>
      <c r="AW39" s="18">
        <f>COUNT(AW7:AW34)</f>
        <v>0</v>
      </c>
      <c r="AX39" s="18">
        <f>COUNT(AX7:AX34)</f>
        <v>0</v>
      </c>
      <c r="AY39" s="28"/>
      <c r="AZ39" s="34"/>
      <c r="BA39" s="126"/>
      <c r="BB39" s="48">
        <f>COUNT(BB7:BB34)</f>
        <v>0</v>
      </c>
      <c r="BC39" s="21">
        <f>COUNT(BC7:BC34)</f>
        <v>0</v>
      </c>
      <c r="BD39" s="21">
        <f>COUNT(BD7:BD34)</f>
        <v>0</v>
      </c>
      <c r="BE39" s="21">
        <f>COUNT(BE7:BE34)</f>
        <v>0</v>
      </c>
      <c r="BF39" s="21">
        <f>COUNT(BF7:BF34)</f>
        <v>0</v>
      </c>
      <c r="BG39" s="42"/>
      <c r="BH39" s="50"/>
      <c r="BI39" s="95"/>
      <c r="BJ39" s="33">
        <f>COUNT(BJ7:BJ34)</f>
        <v>0</v>
      </c>
      <c r="BK39" s="18">
        <f>COUNT(BK7:BK34)</f>
        <v>0</v>
      </c>
      <c r="BL39" s="18">
        <f>COUNT(BL7:BL34)</f>
        <v>0</v>
      </c>
      <c r="BM39" s="18">
        <f>COUNT(BM7:BM34)</f>
        <v>0</v>
      </c>
      <c r="BN39" s="18">
        <f>COUNT(BN7:BN34)</f>
        <v>0</v>
      </c>
      <c r="BO39" s="28"/>
      <c r="BP39" s="34"/>
      <c r="BQ39" s="126"/>
      <c r="BR39" s="48">
        <f>COUNT(BR7:BR34)</f>
        <v>0</v>
      </c>
      <c r="BS39" s="21">
        <f>COUNT(BS7:BS34)</f>
        <v>0</v>
      </c>
      <c r="BT39" s="21">
        <f>COUNT(BT7:BT34)</f>
        <v>0</v>
      </c>
      <c r="BU39" s="21">
        <f>COUNT(BU7:BU34)</f>
        <v>0</v>
      </c>
      <c r="BV39" s="21">
        <f>COUNT(BV7:BV34)</f>
        <v>0</v>
      </c>
      <c r="BW39" s="42"/>
      <c r="BX39" s="50"/>
      <c r="BY39" s="95"/>
      <c r="BZ39" s="33">
        <f>COUNT(BZ7:BZ34)</f>
        <v>0</v>
      </c>
      <c r="CA39" s="18">
        <f>COUNT(CA7:CA34)</f>
        <v>0</v>
      </c>
      <c r="CB39" s="18">
        <f>COUNT(CB7:CB34)</f>
        <v>0</v>
      </c>
      <c r="CC39" s="18">
        <f>COUNT(CC7:CC34)</f>
        <v>0</v>
      </c>
      <c r="CD39" s="18">
        <f>COUNT(CD7:CD34)</f>
        <v>0</v>
      </c>
      <c r="CE39" s="28"/>
      <c r="CF39" s="34"/>
      <c r="CG39" s="126"/>
      <c r="CH39" s="48">
        <f>COUNT(CH7:CH34)</f>
        <v>0</v>
      </c>
      <c r="CI39" s="21">
        <f>COUNT(CI7:CI34)</f>
        <v>0</v>
      </c>
      <c r="CJ39" s="21">
        <f>COUNT(CJ7:CJ34)</f>
        <v>0</v>
      </c>
      <c r="CK39" s="21">
        <f>COUNT(CK7:CK34)</f>
        <v>0</v>
      </c>
      <c r="CL39" s="21">
        <f>COUNT(CL7:CL34)</f>
        <v>0</v>
      </c>
      <c r="CM39" s="42"/>
      <c r="CN39" s="50"/>
      <c r="CO39" s="95"/>
      <c r="CP39" s="33">
        <f>COUNT(CP7:CP34)</f>
        <v>0</v>
      </c>
      <c r="CQ39" s="18">
        <f>COUNT(CQ7:CQ34)</f>
        <v>0</v>
      </c>
      <c r="CR39" s="18">
        <f>COUNT(CR7:CR34)</f>
        <v>0</v>
      </c>
      <c r="CS39" s="18">
        <f>COUNT(CS7:CS34)</f>
        <v>0</v>
      </c>
      <c r="CT39" s="18">
        <f>COUNT(CT7:CT34)</f>
        <v>0</v>
      </c>
      <c r="CU39" s="28"/>
      <c r="CV39" s="34"/>
      <c r="CW39" s="126"/>
      <c r="CX39" s="48">
        <f>COUNT(CX7:CX34)</f>
        <v>0</v>
      </c>
      <c r="CY39" s="21">
        <f>COUNT(CY7:CY34)</f>
        <v>0</v>
      </c>
      <c r="CZ39" s="21">
        <f>COUNT(CZ7:CZ34)</f>
        <v>0</v>
      </c>
      <c r="DA39" s="21">
        <f>COUNT(DA7:DA34)</f>
        <v>0</v>
      </c>
      <c r="DB39" s="21">
        <f>COUNT(DB7:DB34)</f>
        <v>0</v>
      </c>
      <c r="DC39" s="42"/>
      <c r="DD39" s="50"/>
      <c r="DE39" s="95"/>
    </row>
    <row r="40" spans="1:109" x14ac:dyDescent="0.25">
      <c r="A40" s="95" t="s">
        <v>22</v>
      </c>
      <c r="D40" s="97"/>
      <c r="E40" s="97"/>
      <c r="F40" s="120">
        <f>COUNTIF(P7:P34,1.5)</f>
        <v>0</v>
      </c>
      <c r="G40" s="118">
        <f t="shared" ref="G40:J40" si="39">COUNTIF(Q7:Q34,1.5)</f>
        <v>0</v>
      </c>
      <c r="H40" s="118">
        <f t="shared" si="39"/>
        <v>0</v>
      </c>
      <c r="I40" s="118">
        <f t="shared" si="39"/>
        <v>0</v>
      </c>
      <c r="J40" s="118">
        <f t="shared" si="39"/>
        <v>0</v>
      </c>
      <c r="K40" s="51"/>
      <c r="L40" s="52"/>
      <c r="M40" s="130"/>
      <c r="N40" s="117">
        <f>COUNTIF(W7:W34,1.5)</f>
        <v>0</v>
      </c>
      <c r="O40" s="115">
        <f t="shared" ref="O40:R40" si="40">COUNTIF(X7:X34,1.5)</f>
        <v>0</v>
      </c>
      <c r="P40" s="115">
        <f t="shared" si="40"/>
        <v>0</v>
      </c>
      <c r="Q40" s="115">
        <f t="shared" si="40"/>
        <v>0</v>
      </c>
      <c r="R40" s="115">
        <f t="shared" si="40"/>
        <v>0</v>
      </c>
      <c r="S40" s="35"/>
      <c r="T40" s="36"/>
      <c r="U40" s="128"/>
      <c r="V40" s="120">
        <f>COUNTIF(V7:V34,1.5)</f>
        <v>0</v>
      </c>
      <c r="W40" s="118">
        <f t="shared" ref="W40:Z40" si="41">COUNTIF(W7:W34,1.5)</f>
        <v>0</v>
      </c>
      <c r="X40" s="118">
        <f t="shared" si="41"/>
        <v>0</v>
      </c>
      <c r="Y40" s="118">
        <f t="shared" si="41"/>
        <v>0</v>
      </c>
      <c r="Z40" s="118">
        <f t="shared" si="41"/>
        <v>0</v>
      </c>
      <c r="AA40" s="51"/>
      <c r="AB40" s="52"/>
      <c r="AC40" s="130"/>
      <c r="AD40" s="117">
        <f>COUNTIF(AM7:AM34,1.5)</f>
        <v>0</v>
      </c>
      <c r="AE40" s="115">
        <f t="shared" ref="AE40:AH40" si="42">COUNTIF(AN7:AN34,1.5)</f>
        <v>0</v>
      </c>
      <c r="AF40" s="115">
        <f t="shared" si="42"/>
        <v>0</v>
      </c>
      <c r="AG40" s="115">
        <f t="shared" si="42"/>
        <v>0</v>
      </c>
      <c r="AH40" s="115">
        <f t="shared" si="42"/>
        <v>0</v>
      </c>
      <c r="AI40" s="35"/>
      <c r="AJ40" s="36"/>
      <c r="AK40" s="128"/>
      <c r="AL40" s="120">
        <f>COUNTIF(AL7:AL34,1.5)</f>
        <v>0</v>
      </c>
      <c r="AM40" s="118">
        <f t="shared" ref="AM40:AP40" si="43">COUNTIF(AM7:AM34,1.5)</f>
        <v>0</v>
      </c>
      <c r="AN40" s="118">
        <f t="shared" si="43"/>
        <v>0</v>
      </c>
      <c r="AO40" s="118">
        <f t="shared" si="43"/>
        <v>0</v>
      </c>
      <c r="AP40" s="118">
        <f t="shared" si="43"/>
        <v>0</v>
      </c>
      <c r="AQ40" s="51"/>
      <c r="AR40" s="52"/>
      <c r="AS40" s="130"/>
      <c r="AT40" s="117">
        <f>COUNTIF(BC7:BC34,1.5)</f>
        <v>0</v>
      </c>
      <c r="AU40" s="115">
        <f t="shared" ref="AU40:AX40" si="44">COUNTIF(BD7:BD34,1.5)</f>
        <v>0</v>
      </c>
      <c r="AV40" s="115">
        <f t="shared" si="44"/>
        <v>0</v>
      </c>
      <c r="AW40" s="115">
        <f t="shared" si="44"/>
        <v>0</v>
      </c>
      <c r="AX40" s="115">
        <f t="shared" si="44"/>
        <v>0</v>
      </c>
      <c r="AY40" s="35"/>
      <c r="AZ40" s="36"/>
      <c r="BA40" s="128"/>
      <c r="BB40" s="120">
        <f>COUNTIF(BB7:BB34,1.5)</f>
        <v>0</v>
      </c>
      <c r="BC40" s="118">
        <f t="shared" ref="BC40:BF40" si="45">COUNTIF(BC7:BC34,1.5)</f>
        <v>0</v>
      </c>
      <c r="BD40" s="118">
        <f t="shared" si="45"/>
        <v>0</v>
      </c>
      <c r="BE40" s="118">
        <f t="shared" si="45"/>
        <v>0</v>
      </c>
      <c r="BF40" s="118">
        <f t="shared" si="45"/>
        <v>0</v>
      </c>
      <c r="BG40" s="51"/>
      <c r="BH40" s="52"/>
      <c r="BI40" s="130"/>
      <c r="BJ40" s="117">
        <f>COUNTIF(BS7:BS34,1.5)</f>
        <v>0</v>
      </c>
      <c r="BK40" s="115">
        <f t="shared" ref="BK40:BN40" si="46">COUNTIF(BT7:BT34,1.5)</f>
        <v>0</v>
      </c>
      <c r="BL40" s="115">
        <f t="shared" si="46"/>
        <v>0</v>
      </c>
      <c r="BM40" s="115">
        <f t="shared" si="46"/>
        <v>0</v>
      </c>
      <c r="BN40" s="115">
        <f t="shared" si="46"/>
        <v>0</v>
      </c>
      <c r="BO40" s="35"/>
      <c r="BP40" s="36"/>
      <c r="BQ40" s="128"/>
      <c r="BR40" s="120">
        <f>COUNTIF(BR7:BR34,1.5)</f>
        <v>0</v>
      </c>
      <c r="BS40" s="118">
        <f t="shared" ref="BS40:BV40" si="47">COUNTIF(BS7:BS34,1.5)</f>
        <v>0</v>
      </c>
      <c r="BT40" s="118">
        <f t="shared" si="47"/>
        <v>0</v>
      </c>
      <c r="BU40" s="118">
        <f t="shared" si="47"/>
        <v>0</v>
      </c>
      <c r="BV40" s="118">
        <f t="shared" si="47"/>
        <v>0</v>
      </c>
      <c r="BW40" s="51"/>
      <c r="BX40" s="52"/>
      <c r="BY40" s="130"/>
      <c r="BZ40" s="117">
        <f>COUNTIF(CI7:CI34,1.5)</f>
        <v>0</v>
      </c>
      <c r="CA40" s="115">
        <f t="shared" ref="CA40:CD40" si="48">COUNTIF(CJ7:CJ34,1.5)</f>
        <v>0</v>
      </c>
      <c r="CB40" s="115">
        <f t="shared" si="48"/>
        <v>0</v>
      </c>
      <c r="CC40" s="115">
        <f t="shared" si="48"/>
        <v>0</v>
      </c>
      <c r="CD40" s="115">
        <f t="shared" si="48"/>
        <v>0</v>
      </c>
      <c r="CE40" s="35"/>
      <c r="CF40" s="36"/>
      <c r="CG40" s="128"/>
      <c r="CH40" s="120">
        <f>COUNTIF(CH7:CH34,1.5)</f>
        <v>0</v>
      </c>
      <c r="CI40" s="118">
        <f t="shared" ref="CI40:CL40" si="49">COUNTIF(CI7:CI34,1.5)</f>
        <v>0</v>
      </c>
      <c r="CJ40" s="118">
        <f t="shared" si="49"/>
        <v>0</v>
      </c>
      <c r="CK40" s="118">
        <f t="shared" si="49"/>
        <v>0</v>
      </c>
      <c r="CL40" s="118">
        <f t="shared" si="49"/>
        <v>0</v>
      </c>
      <c r="CM40" s="51"/>
      <c r="CN40" s="52"/>
      <c r="CO40" s="130"/>
      <c r="CP40" s="117">
        <f>COUNTIF(CY7:CY34,1.5)</f>
        <v>0</v>
      </c>
      <c r="CQ40" s="115">
        <f t="shared" ref="CQ40:CT40" si="50">COUNTIF(CZ7:CZ34,1.5)</f>
        <v>0</v>
      </c>
      <c r="CR40" s="115">
        <f t="shared" si="50"/>
        <v>0</v>
      </c>
      <c r="CS40" s="115">
        <f t="shared" si="50"/>
        <v>0</v>
      </c>
      <c r="CT40" s="115">
        <f t="shared" si="50"/>
        <v>0</v>
      </c>
      <c r="CU40" s="35"/>
      <c r="CV40" s="36"/>
      <c r="CW40" s="128"/>
      <c r="CX40" s="120">
        <f>COUNTIF(CX7:CX34,1.5)</f>
        <v>0</v>
      </c>
      <c r="CY40" s="118">
        <f t="shared" ref="CY40:DB40" si="51">COUNTIF(CY7:CY34,1.5)</f>
        <v>0</v>
      </c>
      <c r="CZ40" s="118">
        <f t="shared" si="51"/>
        <v>0</v>
      </c>
      <c r="DA40" s="118">
        <f t="shared" si="51"/>
        <v>0</v>
      </c>
      <c r="DB40" s="118">
        <f t="shared" si="51"/>
        <v>0</v>
      </c>
      <c r="DC40" s="51"/>
      <c r="DD40" s="52"/>
      <c r="DE40" s="130"/>
    </row>
    <row r="41" spans="1:109" ht="13" thickBot="1" x14ac:dyDescent="0.3">
      <c r="A41" s="108"/>
      <c r="B41" s="98"/>
      <c r="C41" s="98"/>
      <c r="D41" s="99"/>
      <c r="E41" s="97"/>
      <c r="F41" s="60"/>
      <c r="G41" s="53"/>
      <c r="H41" s="53"/>
      <c r="I41" s="53"/>
      <c r="J41" s="53"/>
      <c r="K41" s="53"/>
      <c r="L41" s="54"/>
      <c r="M41" s="130"/>
      <c r="N41" s="37"/>
      <c r="O41" s="38"/>
      <c r="P41" s="38"/>
      <c r="Q41" s="38"/>
      <c r="R41" s="38"/>
      <c r="S41" s="38"/>
      <c r="T41" s="39"/>
      <c r="U41" s="128"/>
      <c r="V41" s="137"/>
      <c r="W41" s="53"/>
      <c r="X41" s="53"/>
      <c r="Y41" s="53"/>
      <c r="Z41" s="53"/>
      <c r="AA41" s="53"/>
      <c r="AB41" s="54"/>
      <c r="AC41" s="130"/>
      <c r="AD41" s="37"/>
      <c r="AE41" s="38"/>
      <c r="AF41" s="38"/>
      <c r="AG41" s="38"/>
      <c r="AH41" s="38"/>
      <c r="AI41" s="38"/>
      <c r="AJ41" s="39"/>
      <c r="AK41" s="128"/>
      <c r="AL41" s="137"/>
      <c r="AM41" s="53"/>
      <c r="AN41" s="53"/>
      <c r="AO41" s="53"/>
      <c r="AP41" s="53"/>
      <c r="AQ41" s="53"/>
      <c r="AR41" s="54"/>
      <c r="AS41" s="130"/>
      <c r="AT41" s="37"/>
      <c r="AU41" s="38"/>
      <c r="AV41" s="38"/>
      <c r="AW41" s="38"/>
      <c r="AX41" s="38"/>
      <c r="AY41" s="38"/>
      <c r="AZ41" s="39"/>
      <c r="BA41" s="128"/>
      <c r="BB41" s="137"/>
      <c r="BC41" s="53"/>
      <c r="BD41" s="53"/>
      <c r="BE41" s="53"/>
      <c r="BF41" s="53"/>
      <c r="BG41" s="53"/>
      <c r="BH41" s="54"/>
      <c r="BI41" s="130"/>
      <c r="BJ41" s="37"/>
      <c r="BK41" s="38"/>
      <c r="BL41" s="38"/>
      <c r="BM41" s="38"/>
      <c r="BN41" s="38"/>
      <c r="BO41" s="38"/>
      <c r="BP41" s="39"/>
      <c r="BQ41" s="128"/>
      <c r="BR41" s="137"/>
      <c r="BS41" s="53"/>
      <c r="BT41" s="53"/>
      <c r="BU41" s="53"/>
      <c r="BV41" s="53"/>
      <c r="BW41" s="53"/>
      <c r="BX41" s="54"/>
      <c r="BY41" s="130"/>
      <c r="BZ41" s="37"/>
      <c r="CA41" s="38"/>
      <c r="CB41" s="38"/>
      <c r="CC41" s="38"/>
      <c r="CD41" s="38"/>
      <c r="CE41" s="38"/>
      <c r="CF41" s="39"/>
      <c r="CG41" s="128"/>
      <c r="CH41" s="137"/>
      <c r="CI41" s="53"/>
      <c r="CJ41" s="53"/>
      <c r="CK41" s="53"/>
      <c r="CL41" s="53"/>
      <c r="CM41" s="53"/>
      <c r="CN41" s="54"/>
      <c r="CO41" s="130"/>
      <c r="CP41" s="37"/>
      <c r="CQ41" s="38"/>
      <c r="CR41" s="38"/>
      <c r="CS41" s="38"/>
      <c r="CT41" s="38"/>
      <c r="CU41" s="38"/>
      <c r="CV41" s="39"/>
      <c r="CW41" s="128"/>
      <c r="CX41" s="137"/>
      <c r="CY41" s="53"/>
      <c r="CZ41" s="53"/>
      <c r="DA41" s="53"/>
      <c r="DB41" s="53"/>
      <c r="DC41" s="53"/>
      <c r="DD41" s="54"/>
      <c r="DE41" s="130"/>
    </row>
  </sheetData>
  <mergeCells count="13">
    <mergeCell ref="AT4:AZ4"/>
    <mergeCell ref="F4:L4"/>
    <mergeCell ref="N4:T4"/>
    <mergeCell ref="V4:AB4"/>
    <mergeCell ref="AD4:AJ4"/>
    <mergeCell ref="AL4:AR4"/>
    <mergeCell ref="CX4:DD4"/>
    <mergeCell ref="BB4:BH4"/>
    <mergeCell ref="BJ4:BP4"/>
    <mergeCell ref="BR4:BX4"/>
    <mergeCell ref="BZ4:CF4"/>
    <mergeCell ref="CH4:CN4"/>
    <mergeCell ref="CP4:CV4"/>
  </mergeCells>
  <conditionalFormatting sqref="F7:AB34">
    <cfRule type="cellIs" dxfId="3" priority="3" stopIfTrue="1" operator="equal">
      <formula>1.5</formula>
    </cfRule>
  </conditionalFormatting>
  <conditionalFormatting sqref="AC7:BH34">
    <cfRule type="cellIs" dxfId="2" priority="2" stopIfTrue="1" operator="equal">
      <formula>1.5</formula>
    </cfRule>
  </conditionalFormatting>
  <conditionalFormatting sqref="BI7:DE34">
    <cfRule type="cellIs" dxfId="1" priority="1" stopIfTrue="1" operator="equal">
      <formula>1.5</formula>
    </cfRule>
  </conditionalFormatting>
  <pageMargins left="0.78740157480314965" right="0.35433070866141736" top="0.98425196850393704" bottom="0.98425196850393704" header="0.51181102362204722" footer="0.51181102362204722"/>
  <pageSetup paperSize="9" orientation="landscape" horizontalDpi="4294967293" vertic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3">
    <pageSetUpPr fitToPage="1"/>
  </sheetPr>
  <dimension ref="A1:DM15"/>
  <sheetViews>
    <sheetView workbookViewId="0">
      <selection activeCell="N8" sqref="N8"/>
    </sheetView>
  </sheetViews>
  <sheetFormatPr baseColWidth="10" defaultColWidth="10.81640625" defaultRowHeight="12.5" x14ac:dyDescent="0.25"/>
  <cols>
    <col min="1" max="1" width="24.26953125" style="173" customWidth="1"/>
    <col min="2" max="2" width="7" style="173" customWidth="1"/>
    <col min="3" max="3" width="8.453125" style="173" customWidth="1"/>
    <col min="4" max="4" width="6.26953125" style="173" customWidth="1"/>
    <col min="5" max="5" width="3.54296875" style="173" customWidth="1"/>
    <col min="6" max="11" width="5.453125" style="173" customWidth="1"/>
    <col min="12" max="12" width="16" style="173" customWidth="1"/>
    <col min="13" max="13" width="5.453125" style="173" customWidth="1" collapsed="1"/>
    <col min="14" max="19" width="5.453125" style="173" customWidth="1"/>
    <col min="20" max="20" width="16" style="173" customWidth="1"/>
    <col min="21" max="21" width="5.453125" style="173" customWidth="1"/>
    <col min="22" max="27" width="5.1796875" style="173" customWidth="1"/>
    <col min="28" max="28" width="16" style="173" customWidth="1"/>
    <col min="29" max="29" width="5.453125" style="173" customWidth="1"/>
    <col min="30" max="35" width="5.1796875" style="173" customWidth="1"/>
    <col min="36" max="36" width="16" style="173" customWidth="1"/>
    <col min="37" max="37" width="5.453125" style="173" customWidth="1"/>
    <col min="38" max="43" width="5.1796875" style="173" customWidth="1"/>
    <col min="44" max="44" width="16" style="173" customWidth="1"/>
    <col min="45" max="45" width="5.453125" style="173" customWidth="1"/>
    <col min="46" max="51" width="5.1796875" style="173" customWidth="1"/>
    <col min="52" max="52" width="16" style="173" customWidth="1"/>
    <col min="53" max="53" width="5.453125" style="173" customWidth="1"/>
    <col min="54" max="59" width="5.1796875" style="173" customWidth="1"/>
    <col min="60" max="60" width="16" style="173" customWidth="1"/>
    <col min="61" max="61" width="5.453125" style="173" customWidth="1"/>
    <col min="62" max="67" width="5.1796875" style="173" customWidth="1"/>
    <col min="68" max="68" width="16" style="173" customWidth="1"/>
    <col min="69" max="69" width="5.453125" style="173" customWidth="1"/>
    <col min="70" max="75" width="5.1796875" style="173" customWidth="1"/>
    <col min="76" max="76" width="16" style="173" customWidth="1"/>
    <col min="77" max="77" width="5.453125" style="173" customWidth="1"/>
    <col min="78" max="83" width="5.1796875" style="173" customWidth="1"/>
    <col min="84" max="84" width="16" style="173" customWidth="1"/>
    <col min="85" max="85" width="5.453125" style="173" customWidth="1"/>
    <col min="86" max="91" width="5.1796875" style="173" customWidth="1"/>
    <col min="92" max="92" width="16" style="173" customWidth="1"/>
    <col min="93" max="93" width="5.453125" style="173" customWidth="1"/>
    <col min="94" max="99" width="5.1796875" style="173" customWidth="1"/>
    <col min="100" max="100" width="16" style="173" customWidth="1"/>
    <col min="101" max="107" width="5.453125" style="173" customWidth="1"/>
    <col min="108" max="108" width="16" style="173" customWidth="1"/>
    <col min="109" max="115" width="5.453125" style="173" customWidth="1"/>
    <col min="116" max="116" width="16" style="173" customWidth="1"/>
    <col min="117" max="117" width="5.453125" style="173" customWidth="1"/>
    <col min="118" max="16384" width="10.81640625" style="173"/>
  </cols>
  <sheetData>
    <row r="1" spans="1:117" ht="17.5" x14ac:dyDescent="0.35">
      <c r="A1" s="175" t="s">
        <v>40</v>
      </c>
      <c r="B1" s="176"/>
      <c r="C1" s="176"/>
      <c r="D1" s="175"/>
      <c r="E1" s="175"/>
      <c r="F1" s="176"/>
      <c r="G1" s="176"/>
      <c r="H1" s="174"/>
      <c r="I1" s="174"/>
      <c r="J1" s="174"/>
      <c r="K1" s="174"/>
      <c r="L1" s="174"/>
      <c r="M1" s="174"/>
      <c r="N1" s="176"/>
      <c r="O1" s="176"/>
      <c r="P1" s="174"/>
      <c r="Q1" s="174"/>
      <c r="R1" s="174"/>
      <c r="S1" s="174"/>
      <c r="T1" s="174"/>
      <c r="U1" s="174"/>
      <c r="V1" s="176"/>
      <c r="W1" s="176"/>
      <c r="X1" s="174"/>
      <c r="Y1" s="174"/>
      <c r="Z1" s="174"/>
      <c r="AA1" s="174"/>
      <c r="AB1" s="174"/>
      <c r="AC1" s="174"/>
      <c r="AD1" s="176"/>
      <c r="AE1" s="176"/>
      <c r="AF1" s="174"/>
      <c r="AG1" s="174"/>
      <c r="AH1" s="174"/>
      <c r="AI1" s="174"/>
      <c r="AJ1" s="174"/>
      <c r="AK1" s="174"/>
      <c r="AL1" s="176"/>
      <c r="AM1" s="176"/>
      <c r="AN1" s="174"/>
      <c r="AO1" s="174"/>
      <c r="AP1" s="174"/>
      <c r="AQ1" s="174"/>
      <c r="AR1" s="174"/>
      <c r="AS1" s="174"/>
      <c r="AT1" s="176"/>
      <c r="AU1" s="176"/>
      <c r="AV1" s="174"/>
      <c r="AW1" s="174"/>
      <c r="AX1" s="174"/>
      <c r="AY1" s="174"/>
      <c r="AZ1" s="174"/>
      <c r="BA1" s="174"/>
      <c r="BB1" s="176"/>
      <c r="BC1" s="176"/>
      <c r="BD1" s="174"/>
      <c r="BE1" s="174"/>
      <c r="BF1" s="174"/>
      <c r="BG1" s="174"/>
      <c r="BH1" s="174"/>
      <c r="BI1" s="174"/>
      <c r="BJ1" s="176"/>
      <c r="BK1" s="176"/>
      <c r="BL1" s="174"/>
      <c r="BM1" s="174"/>
      <c r="BN1" s="174"/>
      <c r="BO1" s="174"/>
      <c r="BP1" s="174"/>
      <c r="BQ1" s="174"/>
      <c r="BR1" s="176"/>
      <c r="BS1" s="176"/>
      <c r="BT1" s="174"/>
      <c r="BU1" s="174"/>
      <c r="BV1" s="174"/>
      <c r="BW1" s="174"/>
      <c r="BX1" s="174"/>
      <c r="BY1" s="174"/>
      <c r="BZ1" s="176"/>
      <c r="CA1" s="176"/>
      <c r="CB1" s="174"/>
      <c r="CC1" s="174"/>
      <c r="CD1" s="174"/>
      <c r="CE1" s="174"/>
      <c r="CF1" s="174"/>
      <c r="CG1" s="174"/>
      <c r="CH1" s="176"/>
      <c r="CI1" s="176"/>
      <c r="CJ1" s="174"/>
      <c r="CK1" s="174"/>
      <c r="CL1" s="174"/>
      <c r="CM1" s="174"/>
      <c r="CN1" s="174"/>
      <c r="CO1" s="174"/>
      <c r="CP1" s="176"/>
      <c r="CQ1" s="176"/>
      <c r="CR1" s="174"/>
      <c r="CS1" s="174"/>
      <c r="CT1" s="174"/>
      <c r="CU1" s="174"/>
      <c r="CV1" s="174"/>
      <c r="CW1" s="174"/>
      <c r="CX1" s="176"/>
      <c r="CY1" s="176"/>
      <c r="CZ1" s="174"/>
      <c r="DA1" s="174"/>
      <c r="DB1" s="174"/>
      <c r="DC1" s="174"/>
      <c r="DD1" s="174"/>
      <c r="DE1" s="174"/>
      <c r="DF1" s="176"/>
      <c r="DG1" s="176"/>
      <c r="DH1" s="174"/>
      <c r="DI1" s="174"/>
      <c r="DJ1" s="174"/>
      <c r="DK1" s="174"/>
      <c r="DL1" s="174"/>
      <c r="DM1" s="174"/>
    </row>
    <row r="2" spans="1:117" x14ac:dyDescent="0.25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174"/>
      <c r="AO2" s="174"/>
      <c r="AP2" s="174"/>
      <c r="AQ2" s="174"/>
      <c r="AR2" s="174"/>
      <c r="AS2" s="174"/>
      <c r="AT2" s="174"/>
      <c r="AU2" s="174"/>
      <c r="AV2" s="174"/>
      <c r="AW2" s="174"/>
      <c r="AX2" s="174"/>
      <c r="AY2" s="174"/>
      <c r="AZ2" s="174"/>
      <c r="BA2" s="174"/>
      <c r="BB2" s="174"/>
      <c r="BC2" s="174"/>
      <c r="BD2" s="174"/>
      <c r="BE2" s="174"/>
      <c r="BF2" s="174"/>
      <c r="BG2" s="174"/>
      <c r="BH2" s="174"/>
      <c r="BI2" s="174"/>
      <c r="BJ2" s="174"/>
      <c r="BK2" s="174"/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74"/>
      <c r="CF2" s="174"/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4"/>
      <c r="DA2" s="174"/>
      <c r="DB2" s="174"/>
      <c r="DC2" s="174"/>
      <c r="DD2" s="174"/>
      <c r="DE2" s="174"/>
      <c r="DF2" s="174"/>
      <c r="DG2" s="174"/>
      <c r="DH2" s="174"/>
      <c r="DI2" s="174"/>
      <c r="DJ2" s="174"/>
      <c r="DK2" s="174"/>
      <c r="DL2" s="174"/>
      <c r="DM2" s="174"/>
    </row>
    <row r="3" spans="1:117" ht="13" thickBot="1" x14ac:dyDescent="0.3">
      <c r="A3" s="253">
        <f>Übersicht!B3</f>
        <v>2024</v>
      </c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4"/>
      <c r="AJ3" s="174"/>
      <c r="AK3" s="174"/>
      <c r="AL3" s="174"/>
      <c r="AM3" s="174"/>
      <c r="AN3" s="174"/>
      <c r="AO3" s="174"/>
      <c r="AP3" s="174"/>
      <c r="AQ3" s="174"/>
      <c r="AR3" s="174"/>
      <c r="AS3" s="174"/>
      <c r="AT3" s="174"/>
      <c r="AU3" s="174"/>
      <c r="AV3" s="174"/>
      <c r="AW3" s="174"/>
      <c r="AX3" s="174"/>
      <c r="AY3" s="174"/>
      <c r="AZ3" s="174"/>
      <c r="BA3" s="174"/>
      <c r="BB3" s="174"/>
      <c r="BC3" s="174"/>
      <c r="BD3" s="174"/>
      <c r="BE3" s="174"/>
      <c r="BF3" s="174"/>
      <c r="BG3" s="174"/>
      <c r="BH3" s="174"/>
      <c r="BI3" s="174"/>
      <c r="BJ3" s="174"/>
      <c r="BK3" s="174"/>
      <c r="BL3" s="174"/>
      <c r="BM3" s="174"/>
      <c r="BN3" s="174"/>
      <c r="BO3" s="174"/>
      <c r="BP3" s="174"/>
      <c r="BQ3" s="174"/>
      <c r="BR3" s="174"/>
      <c r="BS3" s="174"/>
      <c r="BT3" s="174"/>
      <c r="BU3" s="174"/>
      <c r="BV3" s="174"/>
      <c r="BW3" s="174"/>
      <c r="BX3" s="174"/>
      <c r="BY3" s="174"/>
      <c r="BZ3" s="174"/>
      <c r="CA3" s="174" t="str">
        <f>IF(J2&lt;&gt;"","August " &amp;J2,"")</f>
        <v/>
      </c>
      <c r="CB3" s="174"/>
      <c r="CC3" s="174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174"/>
      <c r="CP3" s="174"/>
      <c r="CQ3" s="174"/>
      <c r="CR3" s="174"/>
      <c r="CS3" s="174"/>
      <c r="CT3" s="174"/>
      <c r="CU3" s="174"/>
      <c r="CV3" s="174"/>
      <c r="CW3" s="174"/>
      <c r="CX3" s="174"/>
      <c r="CY3" s="174"/>
      <c r="CZ3" s="174"/>
      <c r="DA3" s="174"/>
      <c r="DB3" s="174"/>
      <c r="DC3" s="174"/>
      <c r="DD3" s="174"/>
      <c r="DE3" s="174"/>
      <c r="DF3" s="174"/>
      <c r="DG3" s="174"/>
      <c r="DH3" s="174"/>
      <c r="DI3" s="174"/>
      <c r="DJ3" s="174"/>
      <c r="DK3" s="174"/>
      <c r="DL3" s="174"/>
      <c r="DM3" s="174"/>
    </row>
    <row r="4" spans="1:117" ht="13" x14ac:dyDescent="0.3">
      <c r="A4" s="177"/>
      <c r="B4" s="178"/>
      <c r="C4" s="178"/>
      <c r="D4" s="179"/>
      <c r="E4" s="174"/>
      <c r="F4" s="284" t="str">
        <f>IF(A3&lt;&gt;"","Dezember " &amp;A3- 1,"")</f>
        <v>Dezember 2023</v>
      </c>
      <c r="G4" s="285"/>
      <c r="H4" s="285"/>
      <c r="I4" s="285"/>
      <c r="J4" s="285"/>
      <c r="K4" s="285"/>
      <c r="L4" s="286"/>
      <c r="M4" s="3"/>
      <c r="N4" s="287" t="str">
        <f>IF(A3&lt;&gt;"","Januar " &amp;A3,"")</f>
        <v>Januar 2024</v>
      </c>
      <c r="O4" s="288"/>
      <c r="P4" s="288"/>
      <c r="Q4" s="288"/>
      <c r="R4" s="288"/>
      <c r="S4" s="288"/>
      <c r="T4" s="289"/>
      <c r="U4" s="3"/>
      <c r="V4" s="284" t="str">
        <f>IF(A3&lt;&gt;"","Februar " &amp;A3,"")</f>
        <v>Februar 2024</v>
      </c>
      <c r="W4" s="285"/>
      <c r="X4" s="285"/>
      <c r="Y4" s="285"/>
      <c r="Z4" s="285"/>
      <c r="AA4" s="285"/>
      <c r="AB4" s="286"/>
      <c r="AC4" s="3"/>
      <c r="AD4" s="287" t="str">
        <f>IF(A3&lt;&gt;"","März " &amp;A3,"")</f>
        <v>März 2024</v>
      </c>
      <c r="AE4" s="288"/>
      <c r="AF4" s="288"/>
      <c r="AG4" s="288"/>
      <c r="AH4" s="288"/>
      <c r="AI4" s="288"/>
      <c r="AJ4" s="289"/>
      <c r="AK4" s="59"/>
      <c r="AL4" s="284" t="str">
        <f>IF(A3&lt;&gt;"","April " &amp;A3,"")</f>
        <v>April 2024</v>
      </c>
      <c r="AM4" s="285"/>
      <c r="AN4" s="285"/>
      <c r="AO4" s="285"/>
      <c r="AP4" s="285"/>
      <c r="AQ4" s="285"/>
      <c r="AR4" s="286"/>
      <c r="AS4" s="59"/>
      <c r="AT4" s="287" t="str">
        <f>IF(A3&lt;&gt;"","Mai " &amp;A3,"")</f>
        <v>Mai 2024</v>
      </c>
      <c r="AU4" s="288"/>
      <c r="AV4" s="288"/>
      <c r="AW4" s="288"/>
      <c r="AX4" s="288"/>
      <c r="AY4" s="288"/>
      <c r="AZ4" s="289"/>
      <c r="BA4" s="59"/>
      <c r="BB4" s="284" t="str">
        <f>IF(A3&lt;&gt;"","Juni " &amp;A3,"")</f>
        <v>Juni 2024</v>
      </c>
      <c r="BC4" s="285"/>
      <c r="BD4" s="285"/>
      <c r="BE4" s="285"/>
      <c r="BF4" s="285"/>
      <c r="BG4" s="285"/>
      <c r="BH4" s="286"/>
      <c r="BI4" s="59"/>
      <c r="BJ4" s="287" t="str">
        <f>IF(A3&lt;&gt;"","Juli " &amp;A3,"")</f>
        <v>Juli 2024</v>
      </c>
      <c r="BK4" s="288"/>
      <c r="BL4" s="288"/>
      <c r="BM4" s="288"/>
      <c r="BN4" s="288"/>
      <c r="BO4" s="288"/>
      <c r="BP4" s="289"/>
      <c r="BQ4" s="59"/>
      <c r="BR4" s="284" t="str">
        <f>IF(A3&lt;&gt;"","August 1 " &amp;A3,"")</f>
        <v>August 1 2024</v>
      </c>
      <c r="BS4" s="285"/>
      <c r="BT4" s="285"/>
      <c r="BU4" s="285"/>
      <c r="BV4" s="285"/>
      <c r="BW4" s="285"/>
      <c r="BX4" s="286"/>
      <c r="BY4" s="59"/>
      <c r="BZ4" s="284" t="str">
        <f>IF(A3&lt;&gt;"","August 2 " &amp;A3,"")</f>
        <v>August 2 2024</v>
      </c>
      <c r="CA4" s="285"/>
      <c r="CB4" s="285"/>
      <c r="CC4" s="285"/>
      <c r="CD4" s="285"/>
      <c r="CE4" s="285"/>
      <c r="CF4" s="286"/>
      <c r="CG4" s="59"/>
      <c r="CH4" s="287" t="str">
        <f>IF(A3&lt;&gt;"","September " &amp;A3,"")</f>
        <v>September 2024</v>
      </c>
      <c r="CI4" s="288"/>
      <c r="CJ4" s="288"/>
      <c r="CK4" s="288"/>
      <c r="CL4" s="288"/>
      <c r="CM4" s="288"/>
      <c r="CN4" s="289"/>
      <c r="CO4" s="59"/>
      <c r="CP4" s="284" t="str">
        <f>IF(A3&lt;&gt;"","Oktober " &amp;A3,"")</f>
        <v>Oktober 2024</v>
      </c>
      <c r="CQ4" s="285"/>
      <c r="CR4" s="285"/>
      <c r="CS4" s="285"/>
      <c r="CT4" s="285"/>
      <c r="CU4" s="285"/>
      <c r="CV4" s="286"/>
      <c r="CW4" s="59"/>
      <c r="CX4" s="287" t="str">
        <f>IF(A3&lt;&gt;"","November " &amp;A3,"")</f>
        <v>November 2024</v>
      </c>
      <c r="CY4" s="288"/>
      <c r="CZ4" s="288"/>
      <c r="DA4" s="288"/>
      <c r="DB4" s="288"/>
      <c r="DC4" s="288"/>
      <c r="DD4" s="289"/>
      <c r="DE4" s="59"/>
      <c r="DF4" s="284" t="str">
        <f>IF(A3&lt;&gt;"","Dezember " &amp;A3,"")</f>
        <v>Dezember 2024</v>
      </c>
      <c r="DG4" s="285"/>
      <c r="DH4" s="285"/>
      <c r="DI4" s="285"/>
      <c r="DJ4" s="285"/>
      <c r="DK4" s="285"/>
      <c r="DL4" s="286"/>
      <c r="DM4" s="174"/>
    </row>
    <row r="5" spans="1:117" x14ac:dyDescent="0.25">
      <c r="A5" s="180"/>
      <c r="B5" s="176"/>
      <c r="C5" s="176"/>
      <c r="D5" s="181"/>
      <c r="E5" s="181"/>
      <c r="F5" s="182"/>
      <c r="G5" s="183"/>
      <c r="H5" s="183"/>
      <c r="I5" s="183"/>
      <c r="J5" s="183"/>
      <c r="K5" s="184"/>
      <c r="L5" s="185"/>
      <c r="M5" s="180"/>
      <c r="N5" s="186"/>
      <c r="O5" s="187"/>
      <c r="P5" s="187"/>
      <c r="Q5" s="187"/>
      <c r="R5" s="187"/>
      <c r="S5" s="188"/>
      <c r="T5" s="189"/>
      <c r="U5" s="190"/>
      <c r="V5" s="182"/>
      <c r="W5" s="183"/>
      <c r="X5" s="183"/>
      <c r="Y5" s="183"/>
      <c r="Z5" s="183"/>
      <c r="AA5" s="184"/>
      <c r="AB5" s="185"/>
      <c r="AC5" s="180"/>
      <c r="AD5" s="186"/>
      <c r="AE5" s="187"/>
      <c r="AF5" s="187"/>
      <c r="AG5" s="187"/>
      <c r="AH5" s="187"/>
      <c r="AI5" s="188"/>
      <c r="AJ5" s="189"/>
      <c r="AK5" s="190"/>
      <c r="AL5" s="182"/>
      <c r="AM5" s="183"/>
      <c r="AN5" s="183"/>
      <c r="AO5" s="183"/>
      <c r="AP5" s="183"/>
      <c r="AQ5" s="184"/>
      <c r="AR5" s="185"/>
      <c r="AS5" s="180"/>
      <c r="AT5" s="186"/>
      <c r="AU5" s="187"/>
      <c r="AV5" s="187"/>
      <c r="AW5" s="187"/>
      <c r="AX5" s="187"/>
      <c r="AY5" s="188"/>
      <c r="AZ5" s="189"/>
      <c r="BA5" s="190"/>
      <c r="BB5" s="182"/>
      <c r="BC5" s="183"/>
      <c r="BD5" s="183"/>
      <c r="BE5" s="183"/>
      <c r="BF5" s="183"/>
      <c r="BG5" s="184"/>
      <c r="BH5" s="185"/>
      <c r="BI5" s="180"/>
      <c r="BJ5" s="186"/>
      <c r="BK5" s="187"/>
      <c r="BL5" s="187"/>
      <c r="BM5" s="187"/>
      <c r="BN5" s="187"/>
      <c r="BO5" s="188"/>
      <c r="BP5" s="189"/>
      <c r="BQ5" s="190"/>
      <c r="BR5" s="182"/>
      <c r="BS5" s="183"/>
      <c r="BT5" s="183"/>
      <c r="BU5" s="183"/>
      <c r="BV5" s="183"/>
      <c r="BW5" s="184"/>
      <c r="BX5" s="185"/>
      <c r="BY5" s="180"/>
      <c r="BZ5" s="182"/>
      <c r="CA5" s="183"/>
      <c r="CB5" s="183"/>
      <c r="CC5" s="183"/>
      <c r="CD5" s="183"/>
      <c r="CE5" s="184"/>
      <c r="CF5" s="185"/>
      <c r="CG5" s="180"/>
      <c r="CH5" s="186"/>
      <c r="CI5" s="187"/>
      <c r="CJ5" s="187"/>
      <c r="CK5" s="187"/>
      <c r="CL5" s="187"/>
      <c r="CM5" s="188"/>
      <c r="CN5" s="189"/>
      <c r="CO5" s="190"/>
      <c r="CP5" s="182"/>
      <c r="CQ5" s="183"/>
      <c r="CR5" s="183"/>
      <c r="CS5" s="183"/>
      <c r="CT5" s="183"/>
      <c r="CU5" s="184"/>
      <c r="CV5" s="185"/>
      <c r="CW5" s="180"/>
      <c r="CX5" s="186"/>
      <c r="CY5" s="187"/>
      <c r="CZ5" s="187"/>
      <c r="DA5" s="187"/>
      <c r="DB5" s="187"/>
      <c r="DC5" s="188"/>
      <c r="DD5" s="189"/>
      <c r="DE5" s="190"/>
      <c r="DF5" s="182"/>
      <c r="DG5" s="183"/>
      <c r="DH5" s="183"/>
      <c r="DI5" s="183"/>
      <c r="DJ5" s="183"/>
      <c r="DK5" s="184"/>
      <c r="DL5" s="185"/>
      <c r="DM5" s="180"/>
    </row>
    <row r="6" spans="1:117" ht="23" x14ac:dyDescent="0.25">
      <c r="A6" s="191" t="s">
        <v>6</v>
      </c>
      <c r="B6" s="192" t="s">
        <v>9</v>
      </c>
      <c r="C6" s="192"/>
      <c r="D6" s="193" t="s">
        <v>5</v>
      </c>
      <c r="E6" s="194"/>
      <c r="F6" s="195" t="s">
        <v>0</v>
      </c>
      <c r="G6" s="196" t="s">
        <v>1</v>
      </c>
      <c r="H6" s="196" t="s">
        <v>2</v>
      </c>
      <c r="I6" s="196" t="s">
        <v>3</v>
      </c>
      <c r="J6" s="196" t="s">
        <v>4</v>
      </c>
      <c r="K6" s="197" t="s">
        <v>13</v>
      </c>
      <c r="L6" s="198" t="s">
        <v>19</v>
      </c>
      <c r="M6" s="199"/>
      <c r="N6" s="195" t="s">
        <v>0</v>
      </c>
      <c r="O6" s="196" t="s">
        <v>1</v>
      </c>
      <c r="P6" s="196" t="s">
        <v>2</v>
      </c>
      <c r="Q6" s="196" t="s">
        <v>3</v>
      </c>
      <c r="R6" s="196" t="s">
        <v>4</v>
      </c>
      <c r="S6" s="197" t="s">
        <v>13</v>
      </c>
      <c r="T6" s="198" t="s">
        <v>19</v>
      </c>
      <c r="U6" s="200"/>
      <c r="V6" s="195" t="s">
        <v>0</v>
      </c>
      <c r="W6" s="196" t="s">
        <v>1</v>
      </c>
      <c r="X6" s="196" t="s">
        <v>2</v>
      </c>
      <c r="Y6" s="196" t="s">
        <v>3</v>
      </c>
      <c r="Z6" s="196" t="s">
        <v>4</v>
      </c>
      <c r="AA6" s="196" t="s">
        <v>13</v>
      </c>
      <c r="AB6" s="201" t="s">
        <v>19</v>
      </c>
      <c r="AC6" s="199"/>
      <c r="AD6" s="195" t="s">
        <v>0</v>
      </c>
      <c r="AE6" s="196" t="s">
        <v>1</v>
      </c>
      <c r="AF6" s="196" t="s">
        <v>2</v>
      </c>
      <c r="AG6" s="196" t="s">
        <v>3</v>
      </c>
      <c r="AH6" s="196" t="s">
        <v>4</v>
      </c>
      <c r="AI6" s="197" t="s">
        <v>13</v>
      </c>
      <c r="AJ6" s="198" t="s">
        <v>19</v>
      </c>
      <c r="AK6" s="200"/>
      <c r="AL6" s="195" t="s">
        <v>0</v>
      </c>
      <c r="AM6" s="196" t="s">
        <v>1</v>
      </c>
      <c r="AN6" s="196" t="s">
        <v>2</v>
      </c>
      <c r="AO6" s="196" t="s">
        <v>3</v>
      </c>
      <c r="AP6" s="196" t="s">
        <v>4</v>
      </c>
      <c r="AQ6" s="196" t="s">
        <v>13</v>
      </c>
      <c r="AR6" s="201" t="s">
        <v>19</v>
      </c>
      <c r="AS6" s="199"/>
      <c r="AT6" s="195" t="s">
        <v>0</v>
      </c>
      <c r="AU6" s="196" t="s">
        <v>1</v>
      </c>
      <c r="AV6" s="196" t="s">
        <v>2</v>
      </c>
      <c r="AW6" s="196" t="s">
        <v>3</v>
      </c>
      <c r="AX6" s="196" t="s">
        <v>4</v>
      </c>
      <c r="AY6" s="197" t="s">
        <v>13</v>
      </c>
      <c r="AZ6" s="198" t="s">
        <v>19</v>
      </c>
      <c r="BA6" s="200"/>
      <c r="BB6" s="195" t="s">
        <v>0</v>
      </c>
      <c r="BC6" s="196" t="s">
        <v>1</v>
      </c>
      <c r="BD6" s="196" t="s">
        <v>2</v>
      </c>
      <c r="BE6" s="196" t="s">
        <v>3</v>
      </c>
      <c r="BF6" s="196" t="s">
        <v>4</v>
      </c>
      <c r="BG6" s="196" t="s">
        <v>13</v>
      </c>
      <c r="BH6" s="201" t="s">
        <v>19</v>
      </c>
      <c r="BI6" s="199"/>
      <c r="BJ6" s="195" t="s">
        <v>0</v>
      </c>
      <c r="BK6" s="196" t="s">
        <v>1</v>
      </c>
      <c r="BL6" s="196" t="s">
        <v>2</v>
      </c>
      <c r="BM6" s="196" t="s">
        <v>3</v>
      </c>
      <c r="BN6" s="196" t="s">
        <v>4</v>
      </c>
      <c r="BO6" s="197" t="s">
        <v>13</v>
      </c>
      <c r="BP6" s="198" t="s">
        <v>19</v>
      </c>
      <c r="BQ6" s="200"/>
      <c r="BR6" s="195" t="s">
        <v>0</v>
      </c>
      <c r="BS6" s="196" t="s">
        <v>1</v>
      </c>
      <c r="BT6" s="196" t="s">
        <v>2</v>
      </c>
      <c r="BU6" s="196" t="s">
        <v>3</v>
      </c>
      <c r="BV6" s="196" t="s">
        <v>4</v>
      </c>
      <c r="BW6" s="196" t="s">
        <v>13</v>
      </c>
      <c r="BX6" s="201" t="s">
        <v>19</v>
      </c>
      <c r="BY6" s="199"/>
      <c r="BZ6" s="195" t="s">
        <v>0</v>
      </c>
      <c r="CA6" s="196" t="s">
        <v>1</v>
      </c>
      <c r="CB6" s="196" t="s">
        <v>2</v>
      </c>
      <c r="CC6" s="196" t="s">
        <v>3</v>
      </c>
      <c r="CD6" s="196" t="s">
        <v>4</v>
      </c>
      <c r="CE6" s="196" t="s">
        <v>13</v>
      </c>
      <c r="CF6" s="201" t="s">
        <v>19</v>
      </c>
      <c r="CG6" s="199"/>
      <c r="CH6" s="195" t="s">
        <v>0</v>
      </c>
      <c r="CI6" s="196" t="s">
        <v>1</v>
      </c>
      <c r="CJ6" s="196" t="s">
        <v>2</v>
      </c>
      <c r="CK6" s="196" t="s">
        <v>3</v>
      </c>
      <c r="CL6" s="196" t="s">
        <v>4</v>
      </c>
      <c r="CM6" s="197" t="s">
        <v>13</v>
      </c>
      <c r="CN6" s="198" t="s">
        <v>19</v>
      </c>
      <c r="CO6" s="200"/>
      <c r="CP6" s="195" t="s">
        <v>0</v>
      </c>
      <c r="CQ6" s="196" t="s">
        <v>1</v>
      </c>
      <c r="CR6" s="196" t="s">
        <v>2</v>
      </c>
      <c r="CS6" s="196" t="s">
        <v>3</v>
      </c>
      <c r="CT6" s="196" t="s">
        <v>4</v>
      </c>
      <c r="CU6" s="196" t="s">
        <v>13</v>
      </c>
      <c r="CV6" s="201" t="s">
        <v>19</v>
      </c>
      <c r="CW6" s="199"/>
      <c r="CX6" s="195" t="s">
        <v>0</v>
      </c>
      <c r="CY6" s="196" t="s">
        <v>1</v>
      </c>
      <c r="CZ6" s="196" t="s">
        <v>2</v>
      </c>
      <c r="DA6" s="196" t="s">
        <v>3</v>
      </c>
      <c r="DB6" s="196" t="s">
        <v>4</v>
      </c>
      <c r="DC6" s="197" t="s">
        <v>13</v>
      </c>
      <c r="DD6" s="198" t="s">
        <v>19</v>
      </c>
      <c r="DE6" s="200"/>
      <c r="DF6" s="195" t="s">
        <v>0</v>
      </c>
      <c r="DG6" s="196" t="s">
        <v>1</v>
      </c>
      <c r="DH6" s="196" t="s">
        <v>2</v>
      </c>
      <c r="DI6" s="196" t="s">
        <v>3</v>
      </c>
      <c r="DJ6" s="196" t="s">
        <v>4</v>
      </c>
      <c r="DK6" s="196" t="s">
        <v>13</v>
      </c>
      <c r="DL6" s="201" t="s">
        <v>19</v>
      </c>
      <c r="DM6" s="199"/>
    </row>
    <row r="7" spans="1:117" x14ac:dyDescent="0.25">
      <c r="A7" s="159"/>
      <c r="B7" s="160"/>
      <c r="C7" s="292" t="str">
        <f ca="1">IF(B7&lt;&gt;"",DATEDIF(B7,TODAY(),"Y")&amp;" J, " &amp; DATEDIF(B7,TODAY(),"YM")&amp; " Mt","")</f>
        <v/>
      </c>
      <c r="D7" s="161"/>
      <c r="E7" s="162"/>
      <c r="F7" s="163"/>
      <c r="G7" s="164"/>
      <c r="H7" s="164"/>
      <c r="I7" s="164"/>
      <c r="J7" s="164"/>
      <c r="K7" s="165"/>
      <c r="L7" s="166"/>
      <c r="M7" s="167"/>
      <c r="N7" s="168" t="str">
        <f t="shared" ref="N7:S8" si="0">IF(F7="","",F7)</f>
        <v/>
      </c>
      <c r="O7" s="169" t="str">
        <f t="shared" si="0"/>
        <v/>
      </c>
      <c r="P7" s="169" t="str">
        <f t="shared" si="0"/>
        <v/>
      </c>
      <c r="Q7" s="169" t="str">
        <f t="shared" si="0"/>
        <v/>
      </c>
      <c r="R7" s="169" t="str">
        <f t="shared" si="0"/>
        <v/>
      </c>
      <c r="S7" s="170" t="str">
        <f t="shared" si="0"/>
        <v/>
      </c>
      <c r="T7" s="171"/>
      <c r="U7" s="172"/>
      <c r="V7" s="163" t="str">
        <f t="shared" ref="V7:AA8" si="1">IF(N7="","",N7)</f>
        <v/>
      </c>
      <c r="W7" s="164" t="str">
        <f t="shared" si="1"/>
        <v/>
      </c>
      <c r="X7" s="164" t="str">
        <f t="shared" si="1"/>
        <v/>
      </c>
      <c r="Y7" s="164" t="str">
        <f t="shared" si="1"/>
        <v/>
      </c>
      <c r="Z7" s="164" t="str">
        <f t="shared" si="1"/>
        <v/>
      </c>
      <c r="AA7" s="165" t="str">
        <f t="shared" si="1"/>
        <v/>
      </c>
      <c r="AB7" s="166"/>
      <c r="AC7" s="167"/>
      <c r="AD7" s="168" t="str">
        <f t="shared" ref="AD7:AI8" si="2">IF(V7="","",V7)</f>
        <v/>
      </c>
      <c r="AE7" s="169" t="str">
        <f t="shared" si="2"/>
        <v/>
      </c>
      <c r="AF7" s="169" t="str">
        <f t="shared" si="2"/>
        <v/>
      </c>
      <c r="AG7" s="169" t="str">
        <f t="shared" si="2"/>
        <v/>
      </c>
      <c r="AH7" s="169" t="str">
        <f t="shared" si="2"/>
        <v/>
      </c>
      <c r="AI7" s="170" t="str">
        <f t="shared" si="2"/>
        <v/>
      </c>
      <c r="AJ7" s="171"/>
      <c r="AK7" s="172"/>
      <c r="AL7" s="163" t="str">
        <f t="shared" ref="AL7:AQ8" si="3">IF(AD7="","",AD7)</f>
        <v/>
      </c>
      <c r="AM7" s="164" t="str">
        <f t="shared" si="3"/>
        <v/>
      </c>
      <c r="AN7" s="164" t="str">
        <f t="shared" si="3"/>
        <v/>
      </c>
      <c r="AO7" s="164" t="str">
        <f t="shared" si="3"/>
        <v/>
      </c>
      <c r="AP7" s="164" t="str">
        <f t="shared" si="3"/>
        <v/>
      </c>
      <c r="AQ7" s="165" t="str">
        <f t="shared" si="3"/>
        <v/>
      </c>
      <c r="AR7" s="166"/>
      <c r="AS7" s="167"/>
      <c r="AT7" s="168" t="str">
        <f t="shared" ref="AT7:AY8" si="4">IF(AL7="","",AL7)</f>
        <v/>
      </c>
      <c r="AU7" s="169" t="str">
        <f t="shared" si="4"/>
        <v/>
      </c>
      <c r="AV7" s="169" t="str">
        <f t="shared" si="4"/>
        <v/>
      </c>
      <c r="AW7" s="169" t="str">
        <f t="shared" si="4"/>
        <v/>
      </c>
      <c r="AX7" s="169" t="str">
        <f t="shared" si="4"/>
        <v/>
      </c>
      <c r="AY7" s="170" t="str">
        <f t="shared" si="4"/>
        <v/>
      </c>
      <c r="AZ7" s="171"/>
      <c r="BA7" s="172"/>
      <c r="BB7" s="163" t="str">
        <f t="shared" ref="BB7:BG8" si="5">IF(AT7="","",AT7)</f>
        <v/>
      </c>
      <c r="BC7" s="164" t="str">
        <f t="shared" si="5"/>
        <v/>
      </c>
      <c r="BD7" s="164" t="str">
        <f t="shared" si="5"/>
        <v/>
      </c>
      <c r="BE7" s="164" t="str">
        <f t="shared" si="5"/>
        <v/>
      </c>
      <c r="BF7" s="164" t="str">
        <f t="shared" si="5"/>
        <v/>
      </c>
      <c r="BG7" s="165" t="str">
        <f t="shared" si="5"/>
        <v/>
      </c>
      <c r="BH7" s="166"/>
      <c r="BI7" s="167"/>
      <c r="BJ7" s="168" t="str">
        <f t="shared" ref="BJ7:BO8" si="6">IF(BB7="","",BB7)</f>
        <v/>
      </c>
      <c r="BK7" s="169" t="str">
        <f t="shared" si="6"/>
        <v/>
      </c>
      <c r="BL7" s="169" t="str">
        <f t="shared" si="6"/>
        <v/>
      </c>
      <c r="BM7" s="169" t="str">
        <f t="shared" si="6"/>
        <v/>
      </c>
      <c r="BN7" s="169" t="str">
        <f t="shared" si="6"/>
        <v/>
      </c>
      <c r="BO7" s="170" t="str">
        <f t="shared" si="6"/>
        <v/>
      </c>
      <c r="BP7" s="171"/>
      <c r="BQ7" s="172"/>
      <c r="BR7" s="163" t="str">
        <f t="shared" ref="BR7:BW8" si="7">IF(BJ7="","",BJ7)</f>
        <v/>
      </c>
      <c r="BS7" s="164" t="str">
        <f t="shared" si="7"/>
        <v/>
      </c>
      <c r="BT7" s="164" t="str">
        <f t="shared" si="7"/>
        <v/>
      </c>
      <c r="BU7" s="164" t="str">
        <f t="shared" si="7"/>
        <v/>
      </c>
      <c r="BV7" s="164" t="str">
        <f t="shared" si="7"/>
        <v/>
      </c>
      <c r="BW7" s="165" t="str">
        <f t="shared" si="7"/>
        <v/>
      </c>
      <c r="BX7" s="166"/>
      <c r="BY7" s="167"/>
      <c r="BZ7" s="163" t="str">
        <f t="shared" ref="BZ7:CF8" si="8">IF(BR7="","",BR7)</f>
        <v/>
      </c>
      <c r="CA7" s="163" t="str">
        <f t="shared" si="8"/>
        <v/>
      </c>
      <c r="CB7" s="164" t="str">
        <f t="shared" si="8"/>
        <v/>
      </c>
      <c r="CC7" s="164" t="str">
        <f t="shared" si="8"/>
        <v/>
      </c>
      <c r="CD7" s="164" t="str">
        <f t="shared" si="8"/>
        <v/>
      </c>
      <c r="CE7" s="164" t="str">
        <f t="shared" si="8"/>
        <v/>
      </c>
      <c r="CF7" s="165" t="str">
        <f t="shared" si="8"/>
        <v/>
      </c>
      <c r="CG7" s="167"/>
      <c r="CH7" s="168" t="str">
        <f t="shared" ref="CH7:CM8" si="9">IF(BZ7="","",BZ7)</f>
        <v/>
      </c>
      <c r="CI7" s="169" t="str">
        <f t="shared" si="9"/>
        <v/>
      </c>
      <c r="CJ7" s="169" t="str">
        <f t="shared" si="9"/>
        <v/>
      </c>
      <c r="CK7" s="169" t="str">
        <f t="shared" si="9"/>
        <v/>
      </c>
      <c r="CL7" s="169" t="str">
        <f t="shared" si="9"/>
        <v/>
      </c>
      <c r="CM7" s="170" t="str">
        <f t="shared" si="9"/>
        <v/>
      </c>
      <c r="CN7" s="171"/>
      <c r="CO7" s="172"/>
      <c r="CP7" s="163" t="str">
        <f t="shared" ref="CP7:CU8" si="10">IF(CH7="","",CH7)</f>
        <v/>
      </c>
      <c r="CQ7" s="164" t="str">
        <f t="shared" si="10"/>
        <v/>
      </c>
      <c r="CR7" s="164" t="str">
        <f t="shared" si="10"/>
        <v/>
      </c>
      <c r="CS7" s="164" t="str">
        <f t="shared" si="10"/>
        <v/>
      </c>
      <c r="CT7" s="164" t="str">
        <f t="shared" si="10"/>
        <v/>
      </c>
      <c r="CU7" s="165" t="str">
        <f t="shared" si="10"/>
        <v/>
      </c>
      <c r="CV7" s="166"/>
      <c r="CW7" s="167"/>
      <c r="CX7" s="168" t="str">
        <f t="shared" ref="CX7:DC8" si="11">IF(CP7="","",CP7)</f>
        <v/>
      </c>
      <c r="CY7" s="169" t="str">
        <f t="shared" si="11"/>
        <v/>
      </c>
      <c r="CZ7" s="169" t="str">
        <f t="shared" si="11"/>
        <v/>
      </c>
      <c r="DA7" s="169" t="str">
        <f t="shared" si="11"/>
        <v/>
      </c>
      <c r="DB7" s="169" t="str">
        <f t="shared" si="11"/>
        <v/>
      </c>
      <c r="DC7" s="170" t="str">
        <f t="shared" si="11"/>
        <v/>
      </c>
      <c r="DD7" s="171"/>
      <c r="DE7" s="172"/>
      <c r="DF7" s="163" t="str">
        <f t="shared" ref="DF7:DK8" si="12">IF(CX7="","",CX7)</f>
        <v/>
      </c>
      <c r="DG7" s="164" t="str">
        <f t="shared" si="12"/>
        <v/>
      </c>
      <c r="DH7" s="164" t="str">
        <f t="shared" si="12"/>
        <v/>
      </c>
      <c r="DI7" s="164" t="str">
        <f t="shared" si="12"/>
        <v/>
      </c>
      <c r="DJ7" s="164" t="str">
        <f t="shared" si="12"/>
        <v/>
      </c>
      <c r="DK7" s="165" t="str">
        <f t="shared" si="12"/>
        <v/>
      </c>
      <c r="DL7" s="166"/>
      <c r="DM7" s="167"/>
    </row>
    <row r="8" spans="1:117" x14ac:dyDescent="0.25">
      <c r="A8" s="159"/>
      <c r="B8" s="160"/>
      <c r="C8" s="292" t="str">
        <f ca="1">IF(B8&lt;&gt;"",DATEDIF(B8,TODAY(),"Y")&amp;" J, " &amp; DATEDIF(B8,TODAY(),"YM")&amp; " Mt","")</f>
        <v/>
      </c>
      <c r="D8" s="161"/>
      <c r="E8" s="162"/>
      <c r="F8" s="163"/>
      <c r="G8" s="164"/>
      <c r="H8" s="164"/>
      <c r="I8" s="164"/>
      <c r="J8" s="164"/>
      <c r="K8" s="165"/>
      <c r="L8" s="166"/>
      <c r="M8" s="167"/>
      <c r="N8" s="168" t="str">
        <f t="shared" si="0"/>
        <v/>
      </c>
      <c r="O8" s="169" t="str">
        <f t="shared" si="0"/>
        <v/>
      </c>
      <c r="P8" s="169" t="str">
        <f t="shared" si="0"/>
        <v/>
      </c>
      <c r="Q8" s="169" t="str">
        <f t="shared" si="0"/>
        <v/>
      </c>
      <c r="R8" s="169" t="str">
        <f t="shared" si="0"/>
        <v/>
      </c>
      <c r="S8" s="170" t="str">
        <f t="shared" si="0"/>
        <v/>
      </c>
      <c r="T8" s="251"/>
      <c r="U8" s="172"/>
      <c r="V8" s="163" t="str">
        <f t="shared" si="1"/>
        <v/>
      </c>
      <c r="W8" s="164" t="str">
        <f t="shared" si="1"/>
        <v/>
      </c>
      <c r="X8" s="164" t="str">
        <f t="shared" si="1"/>
        <v/>
      </c>
      <c r="Y8" s="164" t="str">
        <f t="shared" si="1"/>
        <v/>
      </c>
      <c r="Z8" s="164" t="str">
        <f t="shared" si="1"/>
        <v/>
      </c>
      <c r="AA8" s="165" t="str">
        <f t="shared" si="1"/>
        <v/>
      </c>
      <c r="AB8" s="252"/>
      <c r="AC8" s="167"/>
      <c r="AD8" s="168" t="str">
        <f t="shared" si="2"/>
        <v/>
      </c>
      <c r="AE8" s="169" t="str">
        <f t="shared" si="2"/>
        <v/>
      </c>
      <c r="AF8" s="169" t="str">
        <f t="shared" si="2"/>
        <v/>
      </c>
      <c r="AG8" s="169" t="str">
        <f t="shared" si="2"/>
        <v/>
      </c>
      <c r="AH8" s="169" t="str">
        <f t="shared" si="2"/>
        <v/>
      </c>
      <c r="AI8" s="170" t="str">
        <f t="shared" si="2"/>
        <v/>
      </c>
      <c r="AJ8" s="251"/>
      <c r="AK8" s="172"/>
      <c r="AL8" s="163" t="str">
        <f t="shared" si="3"/>
        <v/>
      </c>
      <c r="AM8" s="164" t="str">
        <f t="shared" si="3"/>
        <v/>
      </c>
      <c r="AN8" s="164" t="str">
        <f t="shared" si="3"/>
        <v/>
      </c>
      <c r="AO8" s="164" t="str">
        <f t="shared" si="3"/>
        <v/>
      </c>
      <c r="AP8" s="164" t="str">
        <f t="shared" si="3"/>
        <v/>
      </c>
      <c r="AQ8" s="165" t="str">
        <f t="shared" si="3"/>
        <v/>
      </c>
      <c r="AR8" s="252"/>
      <c r="AS8" s="167"/>
      <c r="AT8" s="168" t="str">
        <f t="shared" si="4"/>
        <v/>
      </c>
      <c r="AU8" s="169" t="str">
        <f t="shared" si="4"/>
        <v/>
      </c>
      <c r="AV8" s="169" t="str">
        <f t="shared" si="4"/>
        <v/>
      </c>
      <c r="AW8" s="169" t="str">
        <f t="shared" si="4"/>
        <v/>
      </c>
      <c r="AX8" s="169" t="str">
        <f t="shared" si="4"/>
        <v/>
      </c>
      <c r="AY8" s="170" t="str">
        <f t="shared" si="4"/>
        <v/>
      </c>
      <c r="AZ8" s="251"/>
      <c r="BA8" s="172"/>
      <c r="BB8" s="163" t="str">
        <f t="shared" si="5"/>
        <v/>
      </c>
      <c r="BC8" s="164" t="str">
        <f t="shared" si="5"/>
        <v/>
      </c>
      <c r="BD8" s="164" t="str">
        <f t="shared" si="5"/>
        <v/>
      </c>
      <c r="BE8" s="164" t="str">
        <f t="shared" si="5"/>
        <v/>
      </c>
      <c r="BF8" s="164" t="str">
        <f t="shared" si="5"/>
        <v/>
      </c>
      <c r="BG8" s="165" t="str">
        <f t="shared" si="5"/>
        <v/>
      </c>
      <c r="BH8" s="252"/>
      <c r="BI8" s="167"/>
      <c r="BJ8" s="168" t="str">
        <f t="shared" si="6"/>
        <v/>
      </c>
      <c r="BK8" s="169" t="str">
        <f t="shared" si="6"/>
        <v/>
      </c>
      <c r="BL8" s="169" t="str">
        <f t="shared" si="6"/>
        <v/>
      </c>
      <c r="BM8" s="169" t="str">
        <f t="shared" si="6"/>
        <v/>
      </c>
      <c r="BN8" s="169" t="str">
        <f t="shared" si="6"/>
        <v/>
      </c>
      <c r="BO8" s="170" t="str">
        <f t="shared" si="6"/>
        <v/>
      </c>
      <c r="BP8" s="251"/>
      <c r="BQ8" s="172"/>
      <c r="BR8" s="163" t="str">
        <f t="shared" si="7"/>
        <v/>
      </c>
      <c r="BS8" s="164" t="str">
        <f t="shared" si="7"/>
        <v/>
      </c>
      <c r="BT8" s="164" t="str">
        <f t="shared" si="7"/>
        <v/>
      </c>
      <c r="BU8" s="164" t="str">
        <f t="shared" si="7"/>
        <v/>
      </c>
      <c r="BV8" s="164" t="str">
        <f t="shared" si="7"/>
        <v/>
      </c>
      <c r="BW8" s="165" t="str">
        <f t="shared" si="7"/>
        <v/>
      </c>
      <c r="BX8" s="252"/>
      <c r="BY8" s="167"/>
      <c r="BZ8" s="163" t="str">
        <f t="shared" si="8"/>
        <v/>
      </c>
      <c r="CA8" s="163" t="str">
        <f t="shared" si="8"/>
        <v/>
      </c>
      <c r="CB8" s="164" t="str">
        <f t="shared" si="8"/>
        <v/>
      </c>
      <c r="CC8" s="164" t="str">
        <f t="shared" si="8"/>
        <v/>
      </c>
      <c r="CD8" s="164" t="str">
        <f t="shared" si="8"/>
        <v/>
      </c>
      <c r="CE8" s="164" t="str">
        <f t="shared" si="8"/>
        <v/>
      </c>
      <c r="CF8" s="165" t="str">
        <f t="shared" si="8"/>
        <v/>
      </c>
      <c r="CG8" s="167"/>
      <c r="CH8" s="168" t="str">
        <f t="shared" si="9"/>
        <v/>
      </c>
      <c r="CI8" s="169" t="str">
        <f t="shared" si="9"/>
        <v/>
      </c>
      <c r="CJ8" s="169" t="str">
        <f t="shared" si="9"/>
        <v/>
      </c>
      <c r="CK8" s="169" t="str">
        <f t="shared" si="9"/>
        <v/>
      </c>
      <c r="CL8" s="169" t="str">
        <f t="shared" si="9"/>
        <v/>
      </c>
      <c r="CM8" s="170" t="str">
        <f t="shared" si="9"/>
        <v/>
      </c>
      <c r="CN8" s="251"/>
      <c r="CO8" s="172"/>
      <c r="CP8" s="163" t="str">
        <f t="shared" si="10"/>
        <v/>
      </c>
      <c r="CQ8" s="164" t="str">
        <f t="shared" si="10"/>
        <v/>
      </c>
      <c r="CR8" s="164" t="str">
        <f t="shared" si="10"/>
        <v/>
      </c>
      <c r="CS8" s="164" t="str">
        <f t="shared" si="10"/>
        <v/>
      </c>
      <c r="CT8" s="164" t="str">
        <f t="shared" si="10"/>
        <v/>
      </c>
      <c r="CU8" s="165" t="str">
        <f t="shared" si="10"/>
        <v/>
      </c>
      <c r="CV8" s="252"/>
      <c r="CW8" s="167"/>
      <c r="CX8" s="168" t="str">
        <f t="shared" si="11"/>
        <v/>
      </c>
      <c r="CY8" s="169" t="str">
        <f t="shared" si="11"/>
        <v/>
      </c>
      <c r="CZ8" s="169" t="str">
        <f t="shared" si="11"/>
        <v/>
      </c>
      <c r="DA8" s="169" t="str">
        <f t="shared" si="11"/>
        <v/>
      </c>
      <c r="DB8" s="169" t="str">
        <f t="shared" si="11"/>
        <v/>
      </c>
      <c r="DC8" s="170" t="str">
        <f t="shared" si="11"/>
        <v/>
      </c>
      <c r="DD8" s="251"/>
      <c r="DE8" s="172"/>
      <c r="DF8" s="163" t="str">
        <f t="shared" si="12"/>
        <v/>
      </c>
      <c r="DG8" s="164" t="str">
        <f t="shared" si="12"/>
        <v/>
      </c>
      <c r="DH8" s="164" t="str">
        <f t="shared" si="12"/>
        <v/>
      </c>
      <c r="DI8" s="164" t="str">
        <f t="shared" si="12"/>
        <v/>
      </c>
      <c r="DJ8" s="164" t="str">
        <f t="shared" si="12"/>
        <v/>
      </c>
      <c r="DK8" s="165" t="str">
        <f t="shared" si="12"/>
        <v/>
      </c>
      <c r="DL8" s="252"/>
      <c r="DM8" s="167"/>
    </row>
    <row r="9" spans="1:117" x14ac:dyDescent="0.25">
      <c r="A9" s="202"/>
      <c r="B9" s="203"/>
      <c r="C9" s="242"/>
      <c r="D9" s="204" t="s">
        <v>7</v>
      </c>
      <c r="E9" s="205"/>
      <c r="F9" s="206"/>
      <c r="G9" s="207"/>
      <c r="H9" s="207"/>
      <c r="I9" s="208"/>
      <c r="J9" s="207"/>
      <c r="K9" s="209"/>
      <c r="L9" s="210"/>
      <c r="M9" s="211"/>
      <c r="N9" s="206"/>
      <c r="O9" s="207"/>
      <c r="P9" s="207"/>
      <c r="Q9" s="208"/>
      <c r="R9" s="207"/>
      <c r="S9" s="209"/>
      <c r="T9" s="212"/>
      <c r="U9" s="213"/>
      <c r="V9" s="206"/>
      <c r="W9" s="207"/>
      <c r="X9" s="207"/>
      <c r="Y9" s="208"/>
      <c r="Z9" s="207"/>
      <c r="AA9" s="209"/>
      <c r="AB9" s="212"/>
      <c r="AC9" s="211"/>
      <c r="AD9" s="206"/>
      <c r="AE9" s="207"/>
      <c r="AF9" s="207"/>
      <c r="AG9" s="208"/>
      <c r="AH9" s="207"/>
      <c r="AI9" s="209"/>
      <c r="AJ9" s="212"/>
      <c r="AK9" s="213"/>
      <c r="AL9" s="206"/>
      <c r="AM9" s="207"/>
      <c r="AN9" s="207"/>
      <c r="AO9" s="208"/>
      <c r="AP9" s="207"/>
      <c r="AQ9" s="209"/>
      <c r="AR9" s="212"/>
      <c r="AS9" s="211"/>
      <c r="AT9" s="206"/>
      <c r="AU9" s="207"/>
      <c r="AV9" s="207"/>
      <c r="AW9" s="208"/>
      <c r="AX9" s="207"/>
      <c r="AY9" s="209"/>
      <c r="AZ9" s="212"/>
      <c r="BA9" s="213"/>
      <c r="BB9" s="206"/>
      <c r="BC9" s="207"/>
      <c r="BD9" s="207"/>
      <c r="BE9" s="208"/>
      <c r="BF9" s="207"/>
      <c r="BG9" s="209"/>
      <c r="BH9" s="212"/>
      <c r="BI9" s="211"/>
      <c r="BJ9" s="206"/>
      <c r="BK9" s="207"/>
      <c r="BL9" s="207"/>
      <c r="BM9" s="208"/>
      <c r="BN9" s="207"/>
      <c r="BO9" s="209"/>
      <c r="BP9" s="212"/>
      <c r="BQ9" s="213"/>
      <c r="BR9" s="206"/>
      <c r="BS9" s="207"/>
      <c r="BT9" s="207"/>
      <c r="BU9" s="208"/>
      <c r="BV9" s="207"/>
      <c r="BW9" s="209"/>
      <c r="BX9" s="212"/>
      <c r="BY9" s="211"/>
      <c r="BZ9" s="206"/>
      <c r="CA9" s="207"/>
      <c r="CB9" s="207"/>
      <c r="CC9" s="208"/>
      <c r="CD9" s="207"/>
      <c r="CE9" s="209"/>
      <c r="CF9" s="212"/>
      <c r="CG9" s="211"/>
      <c r="CH9" s="206"/>
      <c r="CI9" s="207"/>
      <c r="CJ9" s="207"/>
      <c r="CK9" s="208"/>
      <c r="CL9" s="207"/>
      <c r="CM9" s="209"/>
      <c r="CN9" s="212"/>
      <c r="CO9" s="213"/>
      <c r="CP9" s="206"/>
      <c r="CQ9" s="207"/>
      <c r="CR9" s="207"/>
      <c r="CS9" s="208"/>
      <c r="CT9" s="207"/>
      <c r="CU9" s="209"/>
      <c r="CV9" s="212"/>
      <c r="CW9" s="211"/>
      <c r="CX9" s="206"/>
      <c r="CY9" s="207"/>
      <c r="CZ9" s="207"/>
      <c r="DA9" s="208"/>
      <c r="DB9" s="207"/>
      <c r="DC9" s="209"/>
      <c r="DD9" s="212"/>
      <c r="DE9" s="213"/>
      <c r="DF9" s="206"/>
      <c r="DG9" s="207"/>
      <c r="DH9" s="207"/>
      <c r="DI9" s="208"/>
      <c r="DJ9" s="207"/>
      <c r="DK9" s="209"/>
      <c r="DL9" s="212"/>
      <c r="DM9" s="211"/>
    </row>
    <row r="10" spans="1:117" ht="13" x14ac:dyDescent="0.3">
      <c r="A10" s="214"/>
      <c r="B10" s="215"/>
      <c r="C10" s="243"/>
      <c r="D10" s="149">
        <f>AVERAGE(K10,S10,AA10,AI10,AQ10,AY10,BG10,BO10,BW10,CM10,CU10,DC10,DK10)</f>
        <v>0</v>
      </c>
      <c r="E10" s="216"/>
      <c r="F10" s="49">
        <f>SUM(F7:F8)</f>
        <v>0</v>
      </c>
      <c r="G10" s="22">
        <f t="shared" ref="G10:J10" si="13">SUM(G7:G8)</f>
        <v>0</v>
      </c>
      <c r="H10" s="22">
        <f t="shared" si="13"/>
        <v>0</v>
      </c>
      <c r="I10" s="22">
        <f t="shared" si="13"/>
        <v>0</v>
      </c>
      <c r="J10" s="22">
        <f t="shared" si="13"/>
        <v>0</v>
      </c>
      <c r="K10" s="129">
        <f>AVERAGE(F10:J10)</f>
        <v>0</v>
      </c>
      <c r="L10" s="217"/>
      <c r="M10" s="151"/>
      <c r="N10" s="152">
        <f>SUM(N7:N8)</f>
        <v>0</v>
      </c>
      <c r="O10" s="153">
        <f t="shared" ref="O10:R10" si="14">SUM(O7:O8)</f>
        <v>0</v>
      </c>
      <c r="P10" s="154">
        <f t="shared" si="14"/>
        <v>0</v>
      </c>
      <c r="Q10" s="153">
        <f t="shared" si="14"/>
        <v>0</v>
      </c>
      <c r="R10" s="153">
        <f t="shared" si="14"/>
        <v>0</v>
      </c>
      <c r="S10" s="116">
        <f>AVERAGE(N10:R10)</f>
        <v>0</v>
      </c>
      <c r="T10" s="218"/>
      <c r="U10" s="155"/>
      <c r="V10" s="49">
        <f>SUM(V7:V8)</f>
        <v>0</v>
      </c>
      <c r="W10" s="22">
        <f t="shared" ref="W10:Z10" si="15">SUM(W7:W8)</f>
        <v>0</v>
      </c>
      <c r="X10" s="22">
        <f t="shared" si="15"/>
        <v>0</v>
      </c>
      <c r="Y10" s="22">
        <f t="shared" si="15"/>
        <v>0</v>
      </c>
      <c r="Z10" s="22">
        <f t="shared" si="15"/>
        <v>0</v>
      </c>
      <c r="AA10" s="129">
        <f>AVERAGE(V10:Z10)</f>
        <v>0</v>
      </c>
      <c r="AB10" s="217"/>
      <c r="AC10" s="151"/>
      <c r="AD10" s="152">
        <f>SUM(AD7:AD8)</f>
        <v>0</v>
      </c>
      <c r="AE10" s="153">
        <f t="shared" ref="AE10:AH10" si="16">SUM(AE7:AE8)</f>
        <v>0</v>
      </c>
      <c r="AF10" s="154">
        <f t="shared" si="16"/>
        <v>0</v>
      </c>
      <c r="AG10" s="153">
        <f t="shared" si="16"/>
        <v>0</v>
      </c>
      <c r="AH10" s="153">
        <f t="shared" si="16"/>
        <v>0</v>
      </c>
      <c r="AI10" s="116">
        <f>AVERAGE(AD10:AH10)</f>
        <v>0</v>
      </c>
      <c r="AJ10" s="218"/>
      <c r="AK10" s="155"/>
      <c r="AL10" s="49">
        <f>SUM(AL7:AL8)</f>
        <v>0</v>
      </c>
      <c r="AM10" s="22">
        <f t="shared" ref="AM10:AP10" si="17">SUM(AM7:AM8)</f>
        <v>0</v>
      </c>
      <c r="AN10" s="22">
        <f t="shared" si="17"/>
        <v>0</v>
      </c>
      <c r="AO10" s="22">
        <f t="shared" si="17"/>
        <v>0</v>
      </c>
      <c r="AP10" s="22">
        <f t="shared" si="17"/>
        <v>0</v>
      </c>
      <c r="AQ10" s="129">
        <f>AVERAGE(AL10:AP10)</f>
        <v>0</v>
      </c>
      <c r="AR10" s="217"/>
      <c r="AS10" s="151"/>
      <c r="AT10" s="152">
        <f>SUM(AT7:AT8)</f>
        <v>0</v>
      </c>
      <c r="AU10" s="153">
        <f t="shared" ref="AU10:AX10" si="18">SUM(AU7:AU8)</f>
        <v>0</v>
      </c>
      <c r="AV10" s="154">
        <f t="shared" si="18"/>
        <v>0</v>
      </c>
      <c r="AW10" s="153">
        <f t="shared" si="18"/>
        <v>0</v>
      </c>
      <c r="AX10" s="153">
        <f t="shared" si="18"/>
        <v>0</v>
      </c>
      <c r="AY10" s="116">
        <f>AVERAGE(AT10:AX10)</f>
        <v>0</v>
      </c>
      <c r="AZ10" s="218"/>
      <c r="BA10" s="155"/>
      <c r="BB10" s="49">
        <f>SUM(BB7:BB8)</f>
        <v>0</v>
      </c>
      <c r="BC10" s="22">
        <f t="shared" ref="BC10:BF10" si="19">SUM(BC7:BC8)</f>
        <v>0</v>
      </c>
      <c r="BD10" s="22">
        <f t="shared" si="19"/>
        <v>0</v>
      </c>
      <c r="BE10" s="22">
        <f t="shared" si="19"/>
        <v>0</v>
      </c>
      <c r="BF10" s="22">
        <f t="shared" si="19"/>
        <v>0</v>
      </c>
      <c r="BG10" s="129">
        <f>AVERAGE(BB10:BF10)</f>
        <v>0</v>
      </c>
      <c r="BH10" s="217"/>
      <c r="BI10" s="151"/>
      <c r="BJ10" s="152">
        <f>SUM(BJ7:BJ8)</f>
        <v>0</v>
      </c>
      <c r="BK10" s="153">
        <f t="shared" ref="BK10:BN10" si="20">SUM(BK7:BK8)</f>
        <v>0</v>
      </c>
      <c r="BL10" s="154">
        <f t="shared" si="20"/>
        <v>0</v>
      </c>
      <c r="BM10" s="153">
        <f t="shared" si="20"/>
        <v>0</v>
      </c>
      <c r="BN10" s="153">
        <f t="shared" si="20"/>
        <v>0</v>
      </c>
      <c r="BO10" s="116">
        <f>AVERAGE(BJ10:BN10)</f>
        <v>0</v>
      </c>
      <c r="BP10" s="218"/>
      <c r="BQ10" s="155"/>
      <c r="BR10" s="49">
        <f>SUM(BR7:BR8)</f>
        <v>0</v>
      </c>
      <c r="BS10" s="22">
        <f t="shared" ref="BS10:BV10" si="21">SUM(BS7:BS8)</f>
        <v>0</v>
      </c>
      <c r="BT10" s="22">
        <f t="shared" si="21"/>
        <v>0</v>
      </c>
      <c r="BU10" s="22">
        <f t="shared" si="21"/>
        <v>0</v>
      </c>
      <c r="BV10" s="22">
        <f t="shared" si="21"/>
        <v>0</v>
      </c>
      <c r="BW10" s="129">
        <f>AVERAGE(BR10:BV10)</f>
        <v>0</v>
      </c>
      <c r="BX10" s="217"/>
      <c r="BY10" s="151"/>
      <c r="BZ10" s="49">
        <f>SUM(BZ7:BZ8)</f>
        <v>0</v>
      </c>
      <c r="CA10" s="22">
        <f t="shared" ref="CA10:CD10" si="22">SUM(CA7:CA8)</f>
        <v>0</v>
      </c>
      <c r="CB10" s="22">
        <f t="shared" si="22"/>
        <v>0</v>
      </c>
      <c r="CC10" s="22">
        <f t="shared" si="22"/>
        <v>0</v>
      </c>
      <c r="CD10" s="22">
        <f t="shared" si="22"/>
        <v>0</v>
      </c>
      <c r="CE10" s="129">
        <f>AVERAGE(BZ10:CD10)</f>
        <v>0</v>
      </c>
      <c r="CF10" s="217"/>
      <c r="CG10" s="151"/>
      <c r="CH10" s="152">
        <f>SUM(CH7:CH8)</f>
        <v>0</v>
      </c>
      <c r="CI10" s="153">
        <f t="shared" ref="CI10:CL10" si="23">SUM(CI7:CI8)</f>
        <v>0</v>
      </c>
      <c r="CJ10" s="154">
        <f t="shared" si="23"/>
        <v>0</v>
      </c>
      <c r="CK10" s="153">
        <f t="shared" si="23"/>
        <v>0</v>
      </c>
      <c r="CL10" s="153">
        <f t="shared" si="23"/>
        <v>0</v>
      </c>
      <c r="CM10" s="116">
        <f>AVERAGE(CH10:CL10)</f>
        <v>0</v>
      </c>
      <c r="CN10" s="218"/>
      <c r="CO10" s="155"/>
      <c r="CP10" s="49">
        <f>SUM(CP7:CP8)</f>
        <v>0</v>
      </c>
      <c r="CQ10" s="22">
        <f t="shared" ref="CQ10:CT10" si="24">SUM(CQ7:CQ8)</f>
        <v>0</v>
      </c>
      <c r="CR10" s="22">
        <f t="shared" si="24"/>
        <v>0</v>
      </c>
      <c r="CS10" s="22">
        <f t="shared" si="24"/>
        <v>0</v>
      </c>
      <c r="CT10" s="22">
        <f t="shared" si="24"/>
        <v>0</v>
      </c>
      <c r="CU10" s="129">
        <f>AVERAGE(CP10:CT10)</f>
        <v>0</v>
      </c>
      <c r="CV10" s="217"/>
      <c r="CW10" s="151"/>
      <c r="CX10" s="152">
        <f>SUM(CX7:CX8)</f>
        <v>0</v>
      </c>
      <c r="CY10" s="153">
        <f t="shared" ref="CY10:DB10" si="25">SUM(CY7:CY8)</f>
        <v>0</v>
      </c>
      <c r="CZ10" s="154">
        <f t="shared" si="25"/>
        <v>0</v>
      </c>
      <c r="DA10" s="153">
        <f t="shared" si="25"/>
        <v>0</v>
      </c>
      <c r="DB10" s="153">
        <f t="shared" si="25"/>
        <v>0</v>
      </c>
      <c r="DC10" s="116">
        <f>AVERAGE(CX10:DB10)</f>
        <v>0</v>
      </c>
      <c r="DD10" s="218"/>
      <c r="DE10" s="155"/>
      <c r="DF10" s="49">
        <f>SUM(DF7:DF8)</f>
        <v>0</v>
      </c>
      <c r="DG10" s="22">
        <f t="shared" ref="DG10:DJ10" si="26">SUM(DG7:DG8)</f>
        <v>0</v>
      </c>
      <c r="DH10" s="22">
        <f t="shared" si="26"/>
        <v>0</v>
      </c>
      <c r="DI10" s="22">
        <f t="shared" si="26"/>
        <v>0</v>
      </c>
      <c r="DJ10" s="22">
        <f t="shared" si="26"/>
        <v>0</v>
      </c>
      <c r="DK10" s="129">
        <f>AVERAGE(DF10:DJ10)</f>
        <v>0</v>
      </c>
      <c r="DL10" s="217"/>
      <c r="DM10" s="219"/>
    </row>
    <row r="11" spans="1:117" ht="13" x14ac:dyDescent="0.3">
      <c r="A11" s="220" t="s">
        <v>10</v>
      </c>
      <c r="B11" s="174"/>
      <c r="C11" s="174"/>
      <c r="D11" s="241"/>
      <c r="E11" s="221"/>
      <c r="F11" s="48">
        <f>$D$11</f>
        <v>0</v>
      </c>
      <c r="G11" s="21">
        <f t="shared" ref="G11:J11" si="27">$D$11</f>
        <v>0</v>
      </c>
      <c r="H11" s="21">
        <f t="shared" si="27"/>
        <v>0</v>
      </c>
      <c r="I11" s="21">
        <f t="shared" si="27"/>
        <v>0</v>
      </c>
      <c r="J11" s="21">
        <f t="shared" si="27"/>
        <v>0</v>
      </c>
      <c r="K11" s="129">
        <f>AVERAGE(F11:J11)</f>
        <v>0</v>
      </c>
      <c r="L11" s="217"/>
      <c r="M11" s="95"/>
      <c r="N11" s="33">
        <f>$D$11</f>
        <v>0</v>
      </c>
      <c r="O11" s="18">
        <f t="shared" ref="O11:R11" si="28">$D$11</f>
        <v>0</v>
      </c>
      <c r="P11" s="18">
        <f t="shared" si="28"/>
        <v>0</v>
      </c>
      <c r="Q11" s="18">
        <f t="shared" si="28"/>
        <v>0</v>
      </c>
      <c r="R11" s="18">
        <f t="shared" si="28"/>
        <v>0</v>
      </c>
      <c r="S11" s="116">
        <f>AVERAGE(N11:R11)</f>
        <v>0</v>
      </c>
      <c r="T11" s="218"/>
      <c r="U11" s="126"/>
      <c r="V11" s="48">
        <f>$D$11</f>
        <v>0</v>
      </c>
      <c r="W11" s="21">
        <f t="shared" ref="W11:Z11" si="29">$D$11</f>
        <v>0</v>
      </c>
      <c r="X11" s="21">
        <f t="shared" si="29"/>
        <v>0</v>
      </c>
      <c r="Y11" s="21">
        <f t="shared" si="29"/>
        <v>0</v>
      </c>
      <c r="Z11" s="21">
        <f t="shared" si="29"/>
        <v>0</v>
      </c>
      <c r="AA11" s="129">
        <f>AVERAGE(V11:Z11)</f>
        <v>0</v>
      </c>
      <c r="AB11" s="217"/>
      <c r="AC11" s="95"/>
      <c r="AD11" s="33">
        <f>$D$11</f>
        <v>0</v>
      </c>
      <c r="AE11" s="18">
        <f t="shared" ref="AE11:AH11" si="30">$D$11</f>
        <v>0</v>
      </c>
      <c r="AF11" s="18">
        <f t="shared" si="30"/>
        <v>0</v>
      </c>
      <c r="AG11" s="18">
        <f t="shared" si="30"/>
        <v>0</v>
      </c>
      <c r="AH11" s="18">
        <f t="shared" si="30"/>
        <v>0</v>
      </c>
      <c r="AI11" s="116">
        <f>AVERAGE(AD11:AH11)</f>
        <v>0</v>
      </c>
      <c r="AJ11" s="218"/>
      <c r="AK11" s="126"/>
      <c r="AL11" s="48">
        <f>$D$11</f>
        <v>0</v>
      </c>
      <c r="AM11" s="21">
        <f t="shared" ref="AM11:AP11" si="31">$D$11</f>
        <v>0</v>
      </c>
      <c r="AN11" s="21">
        <f t="shared" si="31"/>
        <v>0</v>
      </c>
      <c r="AO11" s="21">
        <f t="shared" si="31"/>
        <v>0</v>
      </c>
      <c r="AP11" s="21">
        <f t="shared" si="31"/>
        <v>0</v>
      </c>
      <c r="AQ11" s="129">
        <f>AVERAGE(AL11:AP11)</f>
        <v>0</v>
      </c>
      <c r="AR11" s="217"/>
      <c r="AS11" s="95"/>
      <c r="AT11" s="33">
        <f>$D$11</f>
        <v>0</v>
      </c>
      <c r="AU11" s="18">
        <f t="shared" ref="AU11:AX11" si="32">$D$11</f>
        <v>0</v>
      </c>
      <c r="AV11" s="18">
        <f t="shared" si="32"/>
        <v>0</v>
      </c>
      <c r="AW11" s="18">
        <f t="shared" si="32"/>
        <v>0</v>
      </c>
      <c r="AX11" s="18">
        <f t="shared" si="32"/>
        <v>0</v>
      </c>
      <c r="AY11" s="116">
        <f>AVERAGE(AT11:AX11)</f>
        <v>0</v>
      </c>
      <c r="AZ11" s="218"/>
      <c r="BA11" s="126"/>
      <c r="BB11" s="48">
        <f>$D$11</f>
        <v>0</v>
      </c>
      <c r="BC11" s="21">
        <f t="shared" ref="BC11:BF11" si="33">$D$11</f>
        <v>0</v>
      </c>
      <c r="BD11" s="21">
        <f t="shared" si="33"/>
        <v>0</v>
      </c>
      <c r="BE11" s="21">
        <f t="shared" si="33"/>
        <v>0</v>
      </c>
      <c r="BF11" s="21">
        <f t="shared" si="33"/>
        <v>0</v>
      </c>
      <c r="BG11" s="129">
        <f>AVERAGE(BB11:BF11)</f>
        <v>0</v>
      </c>
      <c r="BH11" s="217"/>
      <c r="BI11" s="95"/>
      <c r="BJ11" s="33">
        <f>$D$11</f>
        <v>0</v>
      </c>
      <c r="BK11" s="18">
        <f t="shared" ref="BK11:BN11" si="34">$D$11</f>
        <v>0</v>
      </c>
      <c r="BL11" s="18">
        <f t="shared" si="34"/>
        <v>0</v>
      </c>
      <c r="BM11" s="18">
        <f t="shared" si="34"/>
        <v>0</v>
      </c>
      <c r="BN11" s="18">
        <f t="shared" si="34"/>
        <v>0</v>
      </c>
      <c r="BO11" s="116">
        <f>AVERAGE(BJ11:BN11)</f>
        <v>0</v>
      </c>
      <c r="BP11" s="218"/>
      <c r="BQ11" s="126"/>
      <c r="BR11" s="48">
        <f>$D$11</f>
        <v>0</v>
      </c>
      <c r="BS11" s="21">
        <f t="shared" ref="BS11:BV11" si="35">$D$11</f>
        <v>0</v>
      </c>
      <c r="BT11" s="21">
        <f t="shared" si="35"/>
        <v>0</v>
      </c>
      <c r="BU11" s="21">
        <f t="shared" si="35"/>
        <v>0</v>
      </c>
      <c r="BV11" s="21">
        <f t="shared" si="35"/>
        <v>0</v>
      </c>
      <c r="BW11" s="129">
        <f>AVERAGE(BR11:BV11)</f>
        <v>0</v>
      </c>
      <c r="BX11" s="217"/>
      <c r="BY11" s="95"/>
      <c r="BZ11" s="48">
        <f>$D$11</f>
        <v>0</v>
      </c>
      <c r="CA11" s="21">
        <f t="shared" ref="CA11:CD11" si="36">$D$11</f>
        <v>0</v>
      </c>
      <c r="CB11" s="21">
        <f t="shared" si="36"/>
        <v>0</v>
      </c>
      <c r="CC11" s="21">
        <f t="shared" si="36"/>
        <v>0</v>
      </c>
      <c r="CD11" s="21">
        <f t="shared" si="36"/>
        <v>0</v>
      </c>
      <c r="CE11" s="129">
        <f>AVERAGE(BZ11:CD11)</f>
        <v>0</v>
      </c>
      <c r="CF11" s="217"/>
      <c r="CG11" s="95"/>
      <c r="CH11" s="33">
        <f>$D$11</f>
        <v>0</v>
      </c>
      <c r="CI11" s="18">
        <f t="shared" ref="CI11:CL11" si="37">$D$11</f>
        <v>0</v>
      </c>
      <c r="CJ11" s="18">
        <f t="shared" si="37"/>
        <v>0</v>
      </c>
      <c r="CK11" s="18">
        <f t="shared" si="37"/>
        <v>0</v>
      </c>
      <c r="CL11" s="18">
        <f t="shared" si="37"/>
        <v>0</v>
      </c>
      <c r="CM11" s="116">
        <f>AVERAGE(CH11:CL11)</f>
        <v>0</v>
      </c>
      <c r="CN11" s="218"/>
      <c r="CO11" s="126"/>
      <c r="CP11" s="48">
        <f>$D$11</f>
        <v>0</v>
      </c>
      <c r="CQ11" s="21">
        <f t="shared" ref="CQ11:CT11" si="38">$D$11</f>
        <v>0</v>
      </c>
      <c r="CR11" s="21">
        <f t="shared" si="38"/>
        <v>0</v>
      </c>
      <c r="CS11" s="21">
        <f t="shared" si="38"/>
        <v>0</v>
      </c>
      <c r="CT11" s="21">
        <f t="shared" si="38"/>
        <v>0</v>
      </c>
      <c r="CU11" s="129">
        <f>AVERAGE(CP11:CT11)</f>
        <v>0</v>
      </c>
      <c r="CV11" s="217"/>
      <c r="CW11" s="95"/>
      <c r="CX11" s="33">
        <f>$D$11</f>
        <v>0</v>
      </c>
      <c r="CY11" s="18">
        <f t="shared" ref="CY11:DB11" si="39">$D$11</f>
        <v>0</v>
      </c>
      <c r="CZ11" s="18">
        <f t="shared" si="39"/>
        <v>0</v>
      </c>
      <c r="DA11" s="18">
        <f t="shared" si="39"/>
        <v>0</v>
      </c>
      <c r="DB11" s="18">
        <f t="shared" si="39"/>
        <v>0</v>
      </c>
      <c r="DC11" s="116">
        <f>AVERAGE(CX11:DB11)</f>
        <v>0</v>
      </c>
      <c r="DD11" s="218"/>
      <c r="DE11" s="126"/>
      <c r="DF11" s="48">
        <f>$D$11</f>
        <v>0</v>
      </c>
      <c r="DG11" s="21">
        <f t="shared" ref="DG11:DJ11" si="40">$D$11</f>
        <v>0</v>
      </c>
      <c r="DH11" s="21">
        <f t="shared" si="40"/>
        <v>0</v>
      </c>
      <c r="DI11" s="21">
        <f t="shared" si="40"/>
        <v>0</v>
      </c>
      <c r="DJ11" s="21">
        <f t="shared" si="40"/>
        <v>0</v>
      </c>
      <c r="DK11" s="129">
        <f>AVERAGE(DF11:DJ11)</f>
        <v>0</v>
      </c>
      <c r="DL11" s="217"/>
      <c r="DM11" s="222"/>
    </row>
    <row r="12" spans="1:117" ht="13" x14ac:dyDescent="0.3">
      <c r="A12" s="223" t="s">
        <v>8</v>
      </c>
      <c r="B12" s="224"/>
      <c r="C12" s="244"/>
      <c r="D12" s="150" t="e">
        <f>AVERAGE(K12,S12,AA12,AI12,AQ12,AY12,BG12,BO12,BW12,CM12,CU12,DC12,DK12)</f>
        <v>#DIV/0!</v>
      </c>
      <c r="E12" s="225"/>
      <c r="F12" s="49" t="e">
        <f>(F10*100)/F11</f>
        <v>#DIV/0!</v>
      </c>
      <c r="G12" s="22" t="e">
        <f t="shared" ref="G12:K12" si="41">(G10*100)/G11</f>
        <v>#DIV/0!</v>
      </c>
      <c r="H12" s="22" t="e">
        <f t="shared" si="41"/>
        <v>#DIV/0!</v>
      </c>
      <c r="I12" s="22" t="e">
        <f t="shared" si="41"/>
        <v>#DIV/0!</v>
      </c>
      <c r="J12" s="22" t="e">
        <f t="shared" si="41"/>
        <v>#DIV/0!</v>
      </c>
      <c r="K12" s="129" t="e">
        <f t="shared" si="41"/>
        <v>#DIV/0!</v>
      </c>
      <c r="L12" s="217"/>
      <c r="M12" s="136"/>
      <c r="N12" s="84" t="e">
        <f>(N10*100)/N11</f>
        <v>#DIV/0!</v>
      </c>
      <c r="O12" s="85" t="e">
        <f t="shared" ref="O12:S12" si="42">(O10*100)/O11</f>
        <v>#DIV/0!</v>
      </c>
      <c r="P12" s="85" t="e">
        <f t="shared" si="42"/>
        <v>#DIV/0!</v>
      </c>
      <c r="Q12" s="85" t="e">
        <f t="shared" si="42"/>
        <v>#DIV/0!</v>
      </c>
      <c r="R12" s="85" t="e">
        <f t="shared" si="42"/>
        <v>#DIV/0!</v>
      </c>
      <c r="S12" s="116" t="e">
        <f t="shared" si="42"/>
        <v>#DIV/0!</v>
      </c>
      <c r="T12" s="218"/>
      <c r="U12" s="127"/>
      <c r="V12" s="86" t="e">
        <f>(V10*100)/V11</f>
        <v>#DIV/0!</v>
      </c>
      <c r="W12" s="87" t="e">
        <f t="shared" ref="W12:Z12" si="43">(W10*100)/W11</f>
        <v>#DIV/0!</v>
      </c>
      <c r="X12" s="87" t="e">
        <f t="shared" si="43"/>
        <v>#DIV/0!</v>
      </c>
      <c r="Y12" s="87" t="e">
        <f t="shared" si="43"/>
        <v>#DIV/0!</v>
      </c>
      <c r="Z12" s="87" t="e">
        <f t="shared" si="43"/>
        <v>#DIV/0!</v>
      </c>
      <c r="AA12" s="129" t="e">
        <f>(AA10*100)/AA11</f>
        <v>#DIV/0!</v>
      </c>
      <c r="AB12" s="217"/>
      <c r="AC12" s="136"/>
      <c r="AD12" s="84" t="e">
        <f>(AD10*100)/AD11</f>
        <v>#DIV/0!</v>
      </c>
      <c r="AE12" s="85" t="e">
        <f t="shared" ref="AE12:AI12" si="44">(AE10*100)/AE11</f>
        <v>#DIV/0!</v>
      </c>
      <c r="AF12" s="85" t="e">
        <f t="shared" si="44"/>
        <v>#DIV/0!</v>
      </c>
      <c r="AG12" s="85" t="e">
        <f t="shared" si="44"/>
        <v>#DIV/0!</v>
      </c>
      <c r="AH12" s="85" t="e">
        <f t="shared" si="44"/>
        <v>#DIV/0!</v>
      </c>
      <c r="AI12" s="116" t="e">
        <f t="shared" si="44"/>
        <v>#DIV/0!</v>
      </c>
      <c r="AJ12" s="218"/>
      <c r="AK12" s="127"/>
      <c r="AL12" s="86" t="e">
        <f>(AL10*100)/AL11</f>
        <v>#DIV/0!</v>
      </c>
      <c r="AM12" s="87" t="e">
        <f t="shared" ref="AM12:AP12" si="45">(AM10*100)/AM11</f>
        <v>#DIV/0!</v>
      </c>
      <c r="AN12" s="87" t="e">
        <f t="shared" si="45"/>
        <v>#DIV/0!</v>
      </c>
      <c r="AO12" s="87" t="e">
        <f t="shared" si="45"/>
        <v>#DIV/0!</v>
      </c>
      <c r="AP12" s="87" t="e">
        <f t="shared" si="45"/>
        <v>#DIV/0!</v>
      </c>
      <c r="AQ12" s="129" t="e">
        <f>(AQ10*100)/AQ11</f>
        <v>#DIV/0!</v>
      </c>
      <c r="AR12" s="217"/>
      <c r="AS12" s="136"/>
      <c r="AT12" s="84" t="e">
        <f>(AT10*100)/AT11</f>
        <v>#DIV/0!</v>
      </c>
      <c r="AU12" s="85" t="e">
        <f t="shared" ref="AU12:AY12" si="46">(AU10*100)/AU11</f>
        <v>#DIV/0!</v>
      </c>
      <c r="AV12" s="85" t="e">
        <f t="shared" si="46"/>
        <v>#DIV/0!</v>
      </c>
      <c r="AW12" s="85" t="e">
        <f t="shared" si="46"/>
        <v>#DIV/0!</v>
      </c>
      <c r="AX12" s="85" t="e">
        <f t="shared" si="46"/>
        <v>#DIV/0!</v>
      </c>
      <c r="AY12" s="116" t="e">
        <f t="shared" si="46"/>
        <v>#DIV/0!</v>
      </c>
      <c r="AZ12" s="218"/>
      <c r="BA12" s="127"/>
      <c r="BB12" s="86" t="e">
        <f>(BB10*100)/BB11</f>
        <v>#DIV/0!</v>
      </c>
      <c r="BC12" s="87" t="e">
        <f t="shared" ref="BC12:BF12" si="47">(BC10*100)/BC11</f>
        <v>#DIV/0!</v>
      </c>
      <c r="BD12" s="87" t="e">
        <f t="shared" si="47"/>
        <v>#DIV/0!</v>
      </c>
      <c r="BE12" s="87" t="e">
        <f t="shared" si="47"/>
        <v>#DIV/0!</v>
      </c>
      <c r="BF12" s="87" t="e">
        <f t="shared" si="47"/>
        <v>#DIV/0!</v>
      </c>
      <c r="BG12" s="129" t="e">
        <f>(BG10*100)/BG11</f>
        <v>#DIV/0!</v>
      </c>
      <c r="BH12" s="217"/>
      <c r="BI12" s="136"/>
      <c r="BJ12" s="84" t="e">
        <f>(BJ10*100)/BJ11</f>
        <v>#DIV/0!</v>
      </c>
      <c r="BK12" s="85" t="e">
        <f t="shared" ref="BK12:BO12" si="48">(BK10*100)/BK11</f>
        <v>#DIV/0!</v>
      </c>
      <c r="BL12" s="85" t="e">
        <f t="shared" si="48"/>
        <v>#DIV/0!</v>
      </c>
      <c r="BM12" s="85" t="e">
        <f t="shared" si="48"/>
        <v>#DIV/0!</v>
      </c>
      <c r="BN12" s="85" t="e">
        <f t="shared" si="48"/>
        <v>#DIV/0!</v>
      </c>
      <c r="BO12" s="116" t="e">
        <f t="shared" si="48"/>
        <v>#DIV/0!</v>
      </c>
      <c r="BP12" s="218"/>
      <c r="BQ12" s="127"/>
      <c r="BR12" s="86" t="e">
        <f>(BR10*100)/BR11</f>
        <v>#DIV/0!</v>
      </c>
      <c r="BS12" s="87" t="e">
        <f t="shared" ref="BS12:BV12" si="49">(BS10*100)/BS11</f>
        <v>#DIV/0!</v>
      </c>
      <c r="BT12" s="87" t="e">
        <f t="shared" si="49"/>
        <v>#DIV/0!</v>
      </c>
      <c r="BU12" s="87" t="e">
        <f t="shared" si="49"/>
        <v>#DIV/0!</v>
      </c>
      <c r="BV12" s="87" t="e">
        <f t="shared" si="49"/>
        <v>#DIV/0!</v>
      </c>
      <c r="BW12" s="129" t="e">
        <f>(BW10*100)/BW11</f>
        <v>#DIV/0!</v>
      </c>
      <c r="BX12" s="217"/>
      <c r="BY12" s="136"/>
      <c r="BZ12" s="86" t="e">
        <f>(BZ10*100)/BZ11</f>
        <v>#DIV/0!</v>
      </c>
      <c r="CA12" s="87" t="e">
        <f t="shared" ref="CA12:CD12" si="50">(CA10*100)/CA11</f>
        <v>#DIV/0!</v>
      </c>
      <c r="CB12" s="87" t="e">
        <f t="shared" si="50"/>
        <v>#DIV/0!</v>
      </c>
      <c r="CC12" s="87" t="e">
        <f t="shared" si="50"/>
        <v>#DIV/0!</v>
      </c>
      <c r="CD12" s="87" t="e">
        <f t="shared" si="50"/>
        <v>#DIV/0!</v>
      </c>
      <c r="CE12" s="129" t="e">
        <f>(CE10*100)/CE11</f>
        <v>#DIV/0!</v>
      </c>
      <c r="CF12" s="217"/>
      <c r="CG12" s="136"/>
      <c r="CH12" s="84" t="e">
        <f>(CH10*100)/CH11</f>
        <v>#DIV/0!</v>
      </c>
      <c r="CI12" s="85" t="e">
        <f t="shared" ref="CI12:CM12" si="51">(CI10*100)/CI11</f>
        <v>#DIV/0!</v>
      </c>
      <c r="CJ12" s="85" t="e">
        <f t="shared" si="51"/>
        <v>#DIV/0!</v>
      </c>
      <c r="CK12" s="85" t="e">
        <f t="shared" si="51"/>
        <v>#DIV/0!</v>
      </c>
      <c r="CL12" s="85" t="e">
        <f t="shared" si="51"/>
        <v>#DIV/0!</v>
      </c>
      <c r="CM12" s="116" t="e">
        <f t="shared" si="51"/>
        <v>#DIV/0!</v>
      </c>
      <c r="CN12" s="218"/>
      <c r="CO12" s="127"/>
      <c r="CP12" s="86" t="e">
        <f>(CP10*100)/CP11</f>
        <v>#DIV/0!</v>
      </c>
      <c r="CQ12" s="87" t="e">
        <f t="shared" ref="CQ12:CT12" si="52">(CQ10*100)/CQ11</f>
        <v>#DIV/0!</v>
      </c>
      <c r="CR12" s="87" t="e">
        <f t="shared" si="52"/>
        <v>#DIV/0!</v>
      </c>
      <c r="CS12" s="87" t="e">
        <f t="shared" si="52"/>
        <v>#DIV/0!</v>
      </c>
      <c r="CT12" s="87" t="e">
        <f t="shared" si="52"/>
        <v>#DIV/0!</v>
      </c>
      <c r="CU12" s="129" t="e">
        <f>(CU10*100)/CU11</f>
        <v>#DIV/0!</v>
      </c>
      <c r="CV12" s="217"/>
      <c r="CW12" s="136"/>
      <c r="CX12" s="84" t="e">
        <f>(CX10*100)/CX11</f>
        <v>#DIV/0!</v>
      </c>
      <c r="CY12" s="85" t="e">
        <f t="shared" ref="CY12:DC12" si="53">(CY10*100)/CY11</f>
        <v>#DIV/0!</v>
      </c>
      <c r="CZ12" s="85" t="e">
        <f t="shared" si="53"/>
        <v>#DIV/0!</v>
      </c>
      <c r="DA12" s="85" t="e">
        <f t="shared" si="53"/>
        <v>#DIV/0!</v>
      </c>
      <c r="DB12" s="85" t="e">
        <f t="shared" si="53"/>
        <v>#DIV/0!</v>
      </c>
      <c r="DC12" s="116" t="e">
        <f t="shared" si="53"/>
        <v>#DIV/0!</v>
      </c>
      <c r="DD12" s="218"/>
      <c r="DE12" s="127"/>
      <c r="DF12" s="86" t="e">
        <f>(DF10*100)/DF11</f>
        <v>#DIV/0!</v>
      </c>
      <c r="DG12" s="87" t="e">
        <f t="shared" ref="DG12:DJ12" si="54">(DG10*100)/DG11</f>
        <v>#DIV/0!</v>
      </c>
      <c r="DH12" s="87" t="e">
        <f t="shared" si="54"/>
        <v>#DIV/0!</v>
      </c>
      <c r="DI12" s="87" t="e">
        <f t="shared" si="54"/>
        <v>#DIV/0!</v>
      </c>
      <c r="DJ12" s="87" t="e">
        <f t="shared" si="54"/>
        <v>#DIV/0!</v>
      </c>
      <c r="DK12" s="129" t="e">
        <f>(DK10*100)/DK11</f>
        <v>#DIV/0!</v>
      </c>
      <c r="DL12" s="217"/>
      <c r="DM12" s="226"/>
    </row>
    <row r="13" spans="1:117" x14ac:dyDescent="0.25">
      <c r="A13" s="222" t="s">
        <v>21</v>
      </c>
      <c r="B13" s="174"/>
      <c r="C13" s="174"/>
      <c r="D13" s="221"/>
      <c r="E13" s="221"/>
      <c r="F13" s="48">
        <f>COUNT(F7:F7)</f>
        <v>0</v>
      </c>
      <c r="G13" s="21">
        <f>COUNT(G7:G7)</f>
        <v>0</v>
      </c>
      <c r="H13" s="21">
        <f>COUNT(H7:H7)</f>
        <v>0</v>
      </c>
      <c r="I13" s="21">
        <f>COUNT(I7:I7)</f>
        <v>0</v>
      </c>
      <c r="J13" s="21">
        <f>COUNT(J7:J7)</f>
        <v>0</v>
      </c>
      <c r="K13" s="42"/>
      <c r="L13" s="50"/>
      <c r="M13" s="95"/>
      <c r="N13" s="33">
        <f>COUNT(N7:N7)</f>
        <v>0</v>
      </c>
      <c r="O13" s="18">
        <f>COUNT(O7:O7)</f>
        <v>0</v>
      </c>
      <c r="P13" s="18">
        <f>COUNT(P7:P7)</f>
        <v>0</v>
      </c>
      <c r="Q13" s="18">
        <f>COUNT(Q7:Q7)</f>
        <v>0</v>
      </c>
      <c r="R13" s="18">
        <f>COUNT(R7:R7)</f>
        <v>0</v>
      </c>
      <c r="S13" s="28"/>
      <c r="T13" s="34"/>
      <c r="U13" s="126"/>
      <c r="V13" s="48">
        <f>COUNT(V7:V7)</f>
        <v>0</v>
      </c>
      <c r="W13" s="21">
        <f>COUNT(W7:W7)</f>
        <v>0</v>
      </c>
      <c r="X13" s="21">
        <f>COUNT(X7:X7)</f>
        <v>0</v>
      </c>
      <c r="Y13" s="21">
        <f>COUNT(Y7:Y7)</f>
        <v>0</v>
      </c>
      <c r="Z13" s="21">
        <f>COUNT(Z7:Z7)</f>
        <v>0</v>
      </c>
      <c r="AA13" s="42"/>
      <c r="AB13" s="50"/>
      <c r="AC13" s="95"/>
      <c r="AD13" s="33">
        <f>COUNT(AD7:AD7)</f>
        <v>0</v>
      </c>
      <c r="AE13" s="18">
        <f>COUNT(AE7:AE7)</f>
        <v>0</v>
      </c>
      <c r="AF13" s="18">
        <f>COUNT(AF7:AF7)</f>
        <v>0</v>
      </c>
      <c r="AG13" s="18">
        <f>COUNT(AG7:AG7)</f>
        <v>0</v>
      </c>
      <c r="AH13" s="18">
        <f>COUNT(AH7:AH7)</f>
        <v>0</v>
      </c>
      <c r="AI13" s="28"/>
      <c r="AJ13" s="34"/>
      <c r="AK13" s="126"/>
      <c r="AL13" s="48">
        <f>COUNT(AL7:AL7)</f>
        <v>0</v>
      </c>
      <c r="AM13" s="21">
        <f>COUNT(AM7:AM7)</f>
        <v>0</v>
      </c>
      <c r="AN13" s="21">
        <f>COUNT(AN7:AN7)</f>
        <v>0</v>
      </c>
      <c r="AO13" s="21">
        <f>COUNT(AO7:AO7)</f>
        <v>0</v>
      </c>
      <c r="AP13" s="21">
        <f>COUNT(AP7:AP7)</f>
        <v>0</v>
      </c>
      <c r="AQ13" s="42"/>
      <c r="AR13" s="50"/>
      <c r="AS13" s="95"/>
      <c r="AT13" s="33">
        <f>COUNT(AT7:AT7)</f>
        <v>0</v>
      </c>
      <c r="AU13" s="18">
        <f>COUNT(AU7:AU7)</f>
        <v>0</v>
      </c>
      <c r="AV13" s="18">
        <f>COUNT(AV7:AV7)</f>
        <v>0</v>
      </c>
      <c r="AW13" s="18">
        <f>COUNT(AW7:AW7)</f>
        <v>0</v>
      </c>
      <c r="AX13" s="18">
        <f>COUNT(AX7:AX7)</f>
        <v>0</v>
      </c>
      <c r="AY13" s="28"/>
      <c r="AZ13" s="34"/>
      <c r="BA13" s="126"/>
      <c r="BB13" s="48">
        <f>COUNT(BB7:BB7)</f>
        <v>0</v>
      </c>
      <c r="BC13" s="21">
        <f>COUNT(BC7:BC7)</f>
        <v>0</v>
      </c>
      <c r="BD13" s="21">
        <f>COUNT(BD7:BD7)</f>
        <v>0</v>
      </c>
      <c r="BE13" s="21">
        <f>COUNT(BE7:BE7)</f>
        <v>0</v>
      </c>
      <c r="BF13" s="21">
        <f>COUNT(BF7:BF7)</f>
        <v>0</v>
      </c>
      <c r="BG13" s="42"/>
      <c r="BH13" s="50"/>
      <c r="BI13" s="95"/>
      <c r="BJ13" s="33">
        <f>COUNT(BJ7:BJ7)</f>
        <v>0</v>
      </c>
      <c r="BK13" s="18">
        <f>COUNT(BK7:BK7)</f>
        <v>0</v>
      </c>
      <c r="BL13" s="18">
        <f>COUNT(BL7:BL7)</f>
        <v>0</v>
      </c>
      <c r="BM13" s="18">
        <f>COUNT(BM7:BM7)</f>
        <v>0</v>
      </c>
      <c r="BN13" s="18">
        <f>COUNT(BN7:BN7)</f>
        <v>0</v>
      </c>
      <c r="BO13" s="28"/>
      <c r="BP13" s="34"/>
      <c r="BQ13" s="126"/>
      <c r="BR13" s="48">
        <f>COUNT(BR7:BR7)</f>
        <v>0</v>
      </c>
      <c r="BS13" s="21">
        <f>COUNT(BS7:BS7)</f>
        <v>0</v>
      </c>
      <c r="BT13" s="21">
        <f>COUNT(BT7:BT7)</f>
        <v>0</v>
      </c>
      <c r="BU13" s="21">
        <f>COUNT(BU7:BU7)</f>
        <v>0</v>
      </c>
      <c r="BV13" s="21">
        <f>COUNT(BV7:BV7)</f>
        <v>0</v>
      </c>
      <c r="BW13" s="42"/>
      <c r="BX13" s="50"/>
      <c r="BY13" s="95"/>
      <c r="BZ13" s="48">
        <f>COUNT(BZ7:BZ7)</f>
        <v>0</v>
      </c>
      <c r="CA13" s="21">
        <f>COUNT(CA7:CA7)</f>
        <v>0</v>
      </c>
      <c r="CB13" s="21">
        <f>COUNT(CB7:CB7)</f>
        <v>0</v>
      </c>
      <c r="CC13" s="21">
        <f>COUNT(CC7:CC7)</f>
        <v>0</v>
      </c>
      <c r="CD13" s="21">
        <f>COUNT(CD7:CD7)</f>
        <v>0</v>
      </c>
      <c r="CE13" s="42"/>
      <c r="CF13" s="50"/>
      <c r="CG13" s="95"/>
      <c r="CH13" s="33">
        <f>COUNT(CH7:CH7)</f>
        <v>0</v>
      </c>
      <c r="CI13" s="18">
        <f>COUNT(CI7:CI7)</f>
        <v>0</v>
      </c>
      <c r="CJ13" s="18">
        <f>COUNT(CJ7:CJ7)</f>
        <v>0</v>
      </c>
      <c r="CK13" s="18">
        <f>COUNT(CK7:CK7)</f>
        <v>0</v>
      </c>
      <c r="CL13" s="18">
        <f>COUNT(CL7:CL7)</f>
        <v>0</v>
      </c>
      <c r="CM13" s="28"/>
      <c r="CN13" s="34"/>
      <c r="CO13" s="126"/>
      <c r="CP13" s="48">
        <f>COUNT(CP7:CP7)</f>
        <v>0</v>
      </c>
      <c r="CQ13" s="21">
        <f>COUNT(CQ7:CQ7)</f>
        <v>0</v>
      </c>
      <c r="CR13" s="21">
        <f>COUNT(CR7:CR7)</f>
        <v>0</v>
      </c>
      <c r="CS13" s="21">
        <f>COUNT(CS7:CS7)</f>
        <v>0</v>
      </c>
      <c r="CT13" s="21">
        <f>COUNT(CT7:CT7)</f>
        <v>0</v>
      </c>
      <c r="CU13" s="42"/>
      <c r="CV13" s="50"/>
      <c r="CW13" s="95"/>
      <c r="CX13" s="33">
        <f>COUNT(CX7:CX7)</f>
        <v>0</v>
      </c>
      <c r="CY13" s="18">
        <f>COUNT(CY7:CY7)</f>
        <v>0</v>
      </c>
      <c r="CZ13" s="18">
        <f>COUNT(CZ7:CZ7)</f>
        <v>0</v>
      </c>
      <c r="DA13" s="18">
        <f>COUNT(DA7:DA7)</f>
        <v>0</v>
      </c>
      <c r="DB13" s="18">
        <f>COUNT(DB7:DB7)</f>
        <v>0</v>
      </c>
      <c r="DC13" s="28"/>
      <c r="DD13" s="34"/>
      <c r="DE13" s="126"/>
      <c r="DF13" s="48">
        <f>COUNT(DF7:DF7)</f>
        <v>0</v>
      </c>
      <c r="DG13" s="21">
        <f>COUNT(DG7:DG7)</f>
        <v>0</v>
      </c>
      <c r="DH13" s="21">
        <f>COUNT(DH7:DH7)</f>
        <v>0</v>
      </c>
      <c r="DI13" s="21">
        <f>COUNT(DI7:DI7)</f>
        <v>0</v>
      </c>
      <c r="DJ13" s="21">
        <f>COUNT(DJ7:DJ7)</f>
        <v>0</v>
      </c>
      <c r="DK13" s="42"/>
      <c r="DL13" s="227"/>
      <c r="DM13" s="222"/>
    </row>
    <row r="14" spans="1:117" x14ac:dyDescent="0.25">
      <c r="A14" s="222" t="s">
        <v>22</v>
      </c>
      <c r="D14" s="228"/>
      <c r="E14" s="228"/>
      <c r="F14" s="120">
        <f>COUNTIF(F7:F7,1.5)</f>
        <v>0</v>
      </c>
      <c r="G14" s="118">
        <f>COUNTIF(G7:G7,1.5)</f>
        <v>0</v>
      </c>
      <c r="H14" s="118">
        <f>COUNTIF(H7:H7,1.5)</f>
        <v>0</v>
      </c>
      <c r="I14" s="118">
        <f>COUNTIF(I7:I7,1.5)</f>
        <v>0</v>
      </c>
      <c r="J14" s="118">
        <f>COUNTIF(J7:J7,1.5)</f>
        <v>0</v>
      </c>
      <c r="K14" s="51"/>
      <c r="L14" s="52"/>
      <c r="M14" s="130"/>
      <c r="N14" s="117">
        <f>COUNTIF(N7:N7,1.5)</f>
        <v>0</v>
      </c>
      <c r="O14" s="115">
        <f>COUNTIF(O7:O7,1.5)</f>
        <v>0</v>
      </c>
      <c r="P14" s="115">
        <f>COUNTIF(P7:P7,1.5)</f>
        <v>0</v>
      </c>
      <c r="Q14" s="115">
        <f>COUNTIF(Q7:Q7,1.5)</f>
        <v>0</v>
      </c>
      <c r="R14" s="115">
        <f>COUNTIF(R7:R7,1.5)</f>
        <v>0</v>
      </c>
      <c r="S14" s="35"/>
      <c r="T14" s="36"/>
      <c r="U14" s="128"/>
      <c r="V14" s="120">
        <f>COUNTIF(V7:V7,1.5)</f>
        <v>0</v>
      </c>
      <c r="W14" s="118">
        <f>COUNTIF(W7:W7,1.5)</f>
        <v>0</v>
      </c>
      <c r="X14" s="118">
        <f>COUNTIF(X7:X7,1.5)</f>
        <v>0</v>
      </c>
      <c r="Y14" s="118">
        <f>COUNTIF(Y7:Y7,1.5)</f>
        <v>0</v>
      </c>
      <c r="Z14" s="118">
        <f>COUNTIF(Z7:Z7,1.5)</f>
        <v>0</v>
      </c>
      <c r="AA14" s="51"/>
      <c r="AB14" s="52"/>
      <c r="AC14" s="130"/>
      <c r="AD14" s="117">
        <f>COUNTIF(AD7:AD7,1.5)</f>
        <v>0</v>
      </c>
      <c r="AE14" s="115">
        <f>COUNTIF(AE7:AE7,1.5)</f>
        <v>0</v>
      </c>
      <c r="AF14" s="115">
        <f>COUNTIF(AF7:AF7,1.5)</f>
        <v>0</v>
      </c>
      <c r="AG14" s="115">
        <f>COUNTIF(AG7:AG7,1.5)</f>
        <v>0</v>
      </c>
      <c r="AH14" s="115">
        <f>COUNTIF(AH7:AH7,1.5)</f>
        <v>0</v>
      </c>
      <c r="AI14" s="35"/>
      <c r="AJ14" s="36"/>
      <c r="AK14" s="128"/>
      <c r="AL14" s="120">
        <f>COUNTIF(AL7:AL7,1.5)</f>
        <v>0</v>
      </c>
      <c r="AM14" s="118">
        <f>COUNTIF(AM7:AM7,1.5)</f>
        <v>0</v>
      </c>
      <c r="AN14" s="118">
        <f>COUNTIF(AN7:AN7,1.5)</f>
        <v>0</v>
      </c>
      <c r="AO14" s="118">
        <f>COUNTIF(AO7:AO7,1.5)</f>
        <v>0</v>
      </c>
      <c r="AP14" s="118">
        <f>COUNTIF(AP7:AP7,1.5)</f>
        <v>0</v>
      </c>
      <c r="AQ14" s="51"/>
      <c r="AR14" s="52"/>
      <c r="AS14" s="130"/>
      <c r="AT14" s="117">
        <f>COUNTIF(AT7:AT7,1.5)</f>
        <v>0</v>
      </c>
      <c r="AU14" s="115">
        <f>COUNTIF(AU7:AU7,1.5)</f>
        <v>0</v>
      </c>
      <c r="AV14" s="115">
        <f>COUNTIF(AV7:AV7,1.5)</f>
        <v>0</v>
      </c>
      <c r="AW14" s="115">
        <f>COUNTIF(AW7:AW7,1.5)</f>
        <v>0</v>
      </c>
      <c r="AX14" s="115">
        <f>COUNTIF(AX7:AX7,1.5)</f>
        <v>0</v>
      </c>
      <c r="AY14" s="35"/>
      <c r="AZ14" s="36"/>
      <c r="BA14" s="128"/>
      <c r="BB14" s="120">
        <f>COUNTIF(BB7:BB7,1.5)</f>
        <v>0</v>
      </c>
      <c r="BC14" s="118">
        <f>COUNTIF(BC7:BC7,1.5)</f>
        <v>0</v>
      </c>
      <c r="BD14" s="118">
        <f>COUNTIF(BD7:BD7,1.5)</f>
        <v>0</v>
      </c>
      <c r="BE14" s="118">
        <f>COUNTIF(BE7:BE7,1.5)</f>
        <v>0</v>
      </c>
      <c r="BF14" s="118">
        <f>COUNTIF(BF7:BF7,1.5)</f>
        <v>0</v>
      </c>
      <c r="BG14" s="51"/>
      <c r="BH14" s="52"/>
      <c r="BI14" s="130"/>
      <c r="BJ14" s="117">
        <f>COUNTIF(BJ7:BJ7,1.5)</f>
        <v>0</v>
      </c>
      <c r="BK14" s="115">
        <f>COUNTIF(BK7:BK7,1.5)</f>
        <v>0</v>
      </c>
      <c r="BL14" s="115">
        <f>COUNTIF(BL7:BL7,1.5)</f>
        <v>0</v>
      </c>
      <c r="BM14" s="115">
        <f>COUNTIF(BM7:BM7,1.5)</f>
        <v>0</v>
      </c>
      <c r="BN14" s="115">
        <f>COUNTIF(BN7:BN7,1.5)</f>
        <v>0</v>
      </c>
      <c r="BO14" s="35"/>
      <c r="BP14" s="36"/>
      <c r="BQ14" s="128"/>
      <c r="BR14" s="120">
        <f>COUNTIF(BR7:BR7,1.5)</f>
        <v>0</v>
      </c>
      <c r="BS14" s="118">
        <f>COUNTIF(BS7:BS7,1.5)</f>
        <v>0</v>
      </c>
      <c r="BT14" s="118">
        <f>COUNTIF(BT7:BT7,1.5)</f>
        <v>0</v>
      </c>
      <c r="BU14" s="118">
        <f>COUNTIF(BU7:BU7,1.5)</f>
        <v>0</v>
      </c>
      <c r="BV14" s="118">
        <f>COUNTIF(BV7:BV7,1.5)</f>
        <v>0</v>
      </c>
      <c r="BW14" s="51"/>
      <c r="BX14" s="52"/>
      <c r="BY14" s="130"/>
      <c r="BZ14" s="120">
        <f>COUNTIF(BZ7:BZ7,1.5)</f>
        <v>0</v>
      </c>
      <c r="CA14" s="118">
        <f>COUNTIF(CA7:CA7,1.5)</f>
        <v>0</v>
      </c>
      <c r="CB14" s="118">
        <f>COUNTIF(CB7:CB7,1.5)</f>
        <v>0</v>
      </c>
      <c r="CC14" s="118">
        <f>COUNTIF(CC7:CC7,1.5)</f>
        <v>0</v>
      </c>
      <c r="CD14" s="118">
        <f>COUNTIF(CD7:CD7,1.5)</f>
        <v>0</v>
      </c>
      <c r="CE14" s="51"/>
      <c r="CF14" s="52"/>
      <c r="CG14" s="130"/>
      <c r="CH14" s="117">
        <f>COUNTIF(CH7:CH7,1.5)</f>
        <v>0</v>
      </c>
      <c r="CI14" s="115">
        <f>COUNTIF(CI7:CI7,1.5)</f>
        <v>0</v>
      </c>
      <c r="CJ14" s="115">
        <f>COUNTIF(CJ7:CJ7,1.5)</f>
        <v>0</v>
      </c>
      <c r="CK14" s="115">
        <f>COUNTIF(CK7:CK7,1.5)</f>
        <v>0</v>
      </c>
      <c r="CL14" s="115">
        <f>COUNTIF(CL7:CL7,1.5)</f>
        <v>0</v>
      </c>
      <c r="CM14" s="35"/>
      <c r="CN14" s="36"/>
      <c r="CO14" s="128"/>
      <c r="CP14" s="120">
        <f>COUNTIF(CP7:CP7,1.5)</f>
        <v>0</v>
      </c>
      <c r="CQ14" s="118">
        <f>COUNTIF(CQ7:CQ7,1.5)</f>
        <v>0</v>
      </c>
      <c r="CR14" s="118">
        <f>COUNTIF(CR7:CR7,1.5)</f>
        <v>0</v>
      </c>
      <c r="CS14" s="118">
        <f>COUNTIF(CS7:CS7,1.5)</f>
        <v>0</v>
      </c>
      <c r="CT14" s="118">
        <f>COUNTIF(CT7:CT7,1.5)</f>
        <v>0</v>
      </c>
      <c r="CU14" s="51"/>
      <c r="CV14" s="52"/>
      <c r="CW14" s="130"/>
      <c r="CX14" s="117">
        <f>COUNTIF(CX7:CX7,1.5)</f>
        <v>0</v>
      </c>
      <c r="CY14" s="115">
        <f>COUNTIF(CY7:CY7,1.5)</f>
        <v>0</v>
      </c>
      <c r="CZ14" s="115">
        <f>COUNTIF(CZ7:CZ7,1.5)</f>
        <v>0</v>
      </c>
      <c r="DA14" s="115">
        <f>COUNTIF(DA7:DA7,1.5)</f>
        <v>0</v>
      </c>
      <c r="DB14" s="115">
        <f>COUNTIF(DB7:DB7,1.5)</f>
        <v>0</v>
      </c>
      <c r="DC14" s="35"/>
      <c r="DD14" s="36"/>
      <c r="DE14" s="128"/>
      <c r="DF14" s="120">
        <f>COUNTIF(DF7:DF7,1.5)</f>
        <v>0</v>
      </c>
      <c r="DG14" s="118">
        <f>COUNTIF(DG7:DG7,1.5)</f>
        <v>0</v>
      </c>
      <c r="DH14" s="118">
        <f>COUNTIF(DH7:DH7,1.5)</f>
        <v>0</v>
      </c>
      <c r="DI14" s="118">
        <f>COUNTIF(DI7:DI7,1.5)</f>
        <v>0</v>
      </c>
      <c r="DJ14" s="118">
        <f>COUNTIF(DJ7:DJ7,1.5)</f>
        <v>0</v>
      </c>
      <c r="DK14" s="51"/>
      <c r="DL14" s="52"/>
      <c r="DM14" s="130"/>
    </row>
    <row r="15" spans="1:117" ht="13" thickBot="1" x14ac:dyDescent="0.3">
      <c r="A15" s="231"/>
      <c r="B15" s="232"/>
      <c r="C15" s="232"/>
      <c r="D15" s="233"/>
      <c r="E15" s="228"/>
      <c r="F15" s="234"/>
      <c r="G15" s="235"/>
      <c r="H15" s="235"/>
      <c r="I15" s="235"/>
      <c r="J15" s="235"/>
      <c r="K15" s="235"/>
      <c r="L15" s="236"/>
      <c r="M15" s="229"/>
      <c r="N15" s="237"/>
      <c r="O15" s="238"/>
      <c r="P15" s="238"/>
      <c r="Q15" s="238"/>
      <c r="R15" s="238"/>
      <c r="S15" s="238"/>
      <c r="T15" s="239"/>
      <c r="U15" s="230"/>
      <c r="V15" s="240"/>
      <c r="W15" s="235"/>
      <c r="X15" s="235"/>
      <c r="Y15" s="235"/>
      <c r="Z15" s="235"/>
      <c r="AA15" s="235"/>
      <c r="AB15" s="236"/>
      <c r="AC15" s="229"/>
      <c r="AD15" s="237"/>
      <c r="AE15" s="238"/>
      <c r="AF15" s="238"/>
      <c r="AG15" s="238"/>
      <c r="AH15" s="238"/>
      <c r="AI15" s="238"/>
      <c r="AJ15" s="239"/>
      <c r="AK15" s="230"/>
      <c r="AL15" s="240"/>
      <c r="AM15" s="235"/>
      <c r="AN15" s="235"/>
      <c r="AO15" s="235"/>
      <c r="AP15" s="235"/>
      <c r="AQ15" s="235"/>
      <c r="AR15" s="236"/>
      <c r="AS15" s="229"/>
      <c r="AT15" s="237"/>
      <c r="AU15" s="238"/>
      <c r="AV15" s="238"/>
      <c r="AW15" s="238"/>
      <c r="AX15" s="238"/>
      <c r="AY15" s="238"/>
      <c r="AZ15" s="239"/>
      <c r="BA15" s="230"/>
      <c r="BB15" s="240"/>
      <c r="BC15" s="235"/>
      <c r="BD15" s="235"/>
      <c r="BE15" s="235"/>
      <c r="BF15" s="235"/>
      <c r="BG15" s="235"/>
      <c r="BH15" s="236"/>
      <c r="BI15" s="229"/>
      <c r="BJ15" s="237"/>
      <c r="BK15" s="238"/>
      <c r="BL15" s="238"/>
      <c r="BM15" s="238"/>
      <c r="BN15" s="238"/>
      <c r="BO15" s="238"/>
      <c r="BP15" s="239"/>
      <c r="BQ15" s="230"/>
      <c r="BR15" s="240"/>
      <c r="BS15" s="235"/>
      <c r="BT15" s="235"/>
      <c r="BU15" s="235"/>
      <c r="BV15" s="235"/>
      <c r="BW15" s="235"/>
      <c r="BX15" s="236"/>
      <c r="BY15" s="229"/>
      <c r="BZ15" s="240"/>
      <c r="CA15" s="235"/>
      <c r="CB15" s="235"/>
      <c r="CC15" s="235"/>
      <c r="CD15" s="235"/>
      <c r="CE15" s="235"/>
      <c r="CF15" s="236"/>
      <c r="CG15" s="229"/>
      <c r="CH15" s="237"/>
      <c r="CI15" s="238"/>
      <c r="CJ15" s="238"/>
      <c r="CK15" s="238"/>
      <c r="CL15" s="238"/>
      <c r="CM15" s="238"/>
      <c r="CN15" s="239"/>
      <c r="CO15" s="230"/>
      <c r="CP15" s="240"/>
      <c r="CQ15" s="235"/>
      <c r="CR15" s="235"/>
      <c r="CS15" s="235"/>
      <c r="CT15" s="235"/>
      <c r="CU15" s="235"/>
      <c r="CV15" s="236"/>
      <c r="CW15" s="229"/>
      <c r="CX15" s="237"/>
      <c r="CY15" s="238"/>
      <c r="CZ15" s="238"/>
      <c r="DA15" s="238"/>
      <c r="DB15" s="238"/>
      <c r="DC15" s="238"/>
      <c r="DD15" s="239"/>
      <c r="DE15" s="230"/>
      <c r="DF15" s="240"/>
      <c r="DG15" s="235"/>
      <c r="DH15" s="235"/>
      <c r="DI15" s="235"/>
      <c r="DJ15" s="235"/>
      <c r="DK15" s="235"/>
      <c r="DL15" s="236"/>
      <c r="DM15" s="229"/>
    </row>
  </sheetData>
  <sheetProtection formatCells="0" formatColumns="0" formatRows="0" insertRows="0" insertHyperlinks="0" sort="0"/>
  <mergeCells count="14">
    <mergeCell ref="AT4:AZ4"/>
    <mergeCell ref="F4:L4"/>
    <mergeCell ref="N4:T4"/>
    <mergeCell ref="V4:AB4"/>
    <mergeCell ref="AD4:AJ4"/>
    <mergeCell ref="AL4:AR4"/>
    <mergeCell ref="DF4:DL4"/>
    <mergeCell ref="BB4:BH4"/>
    <mergeCell ref="BJ4:BP4"/>
    <mergeCell ref="BR4:BX4"/>
    <mergeCell ref="CH4:CN4"/>
    <mergeCell ref="CP4:CV4"/>
    <mergeCell ref="CX4:DD4"/>
    <mergeCell ref="BZ4:CF4"/>
  </mergeCells>
  <conditionalFormatting sqref="F7:DM8">
    <cfRule type="cellIs" dxfId="0" priority="8" stopIfTrue="1" operator="equal">
      <formula>1.5</formula>
    </cfRule>
  </conditionalFormatting>
  <pageMargins left="0.78740157480314965" right="0.35433070866141736" top="0.98425196850393704" bottom="0.98425196850393704" header="0.51181102362204722" footer="0.51181102362204722"/>
  <pageSetup paperSize="9" orientation="landscape" horizontalDpi="4294967293" verticalDpi="4294967293" r:id="rId1"/>
  <headerFooter alignWithMargins="0"/>
  <ignoredErrors>
    <ignoredError sqref="N7 O7:S7 C7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3C44-9359-4C76-BCC5-BDDB671D3AC6}">
  <sheetPr codeName="Tabelle8"/>
  <dimension ref="A1:E55"/>
  <sheetViews>
    <sheetView workbookViewId="0"/>
  </sheetViews>
  <sheetFormatPr baseColWidth="10" defaultRowHeight="12.5" x14ac:dyDescent="0.25"/>
  <cols>
    <col min="1" max="1" width="6.81640625" style="256" customWidth="1"/>
    <col min="2" max="2" width="36.453125" style="256" customWidth="1"/>
    <col min="3" max="3" width="11" style="256" customWidth="1"/>
    <col min="4" max="4" width="17.54296875" style="256" customWidth="1"/>
    <col min="5" max="5" width="3.26953125" style="256" customWidth="1"/>
    <col min="6" max="6" width="6.81640625" style="256" bestFit="1" customWidth="1"/>
    <col min="7" max="7" width="32.1796875" style="256" customWidth="1"/>
    <col min="8" max="8" width="10.453125" style="256" customWidth="1"/>
    <col min="9" max="9" width="15.453125" style="256" customWidth="1"/>
    <col min="10" max="10" width="2.81640625" style="256" customWidth="1"/>
    <col min="11" max="11" width="6.81640625" style="256" bestFit="1" customWidth="1"/>
    <col min="12" max="12" width="37.1796875" style="256" customWidth="1"/>
    <col min="13" max="13" width="10.54296875" style="256" customWidth="1"/>
    <col min="14" max="14" width="11.1796875" style="256" customWidth="1"/>
    <col min="15" max="15" width="3.26953125" style="256" customWidth="1"/>
    <col min="16" max="16" width="6.81640625" style="256" bestFit="1" customWidth="1"/>
    <col min="17" max="17" width="32.1796875" style="256" customWidth="1"/>
    <col min="18" max="18" width="10.453125" style="256" customWidth="1"/>
    <col min="19" max="19" width="15.453125" style="256" customWidth="1"/>
    <col min="20" max="20" width="2.81640625" style="256" customWidth="1"/>
    <col min="21" max="21" width="6.81640625" style="256" bestFit="1" customWidth="1"/>
    <col min="22" max="22" width="37.1796875" style="256" customWidth="1"/>
    <col min="23" max="23" width="10.54296875" style="256" customWidth="1"/>
    <col min="24" max="24" width="11.1796875" style="256" customWidth="1"/>
    <col min="25" max="25" width="3.26953125" style="256" customWidth="1"/>
    <col min="26" max="26" width="6.81640625" style="256" bestFit="1" customWidth="1"/>
    <col min="27" max="27" width="32.1796875" style="256" customWidth="1"/>
    <col min="28" max="28" width="10.453125" style="256" customWidth="1"/>
    <col min="29" max="29" width="15.453125" style="256" customWidth="1"/>
    <col min="30" max="30" width="2.81640625" style="256" customWidth="1"/>
    <col min="31" max="31" width="6.81640625" style="256" bestFit="1" customWidth="1"/>
    <col min="32" max="32" width="37.1796875" style="256" customWidth="1"/>
    <col min="33" max="33" width="10.54296875" style="256" customWidth="1"/>
    <col min="34" max="34" width="11.1796875" style="256" customWidth="1"/>
    <col min="35" max="16384" width="10.90625" style="256"/>
  </cols>
  <sheetData>
    <row r="1" spans="1:5" ht="22.5" x14ac:dyDescent="0.45">
      <c r="B1" s="257" t="s">
        <v>38</v>
      </c>
    </row>
    <row r="2" spans="1:5" ht="13" thickBot="1" x14ac:dyDescent="0.3"/>
    <row r="3" spans="1:5" x14ac:dyDescent="0.25">
      <c r="A3" s="258"/>
      <c r="B3" s="259"/>
      <c r="C3" s="259"/>
      <c r="D3" s="260"/>
      <c r="E3" s="261"/>
    </row>
    <row r="4" spans="1:5" ht="13" x14ac:dyDescent="0.25">
      <c r="A4" s="290"/>
      <c r="B4" s="291"/>
      <c r="C4" s="272" t="s">
        <v>37</v>
      </c>
      <c r="D4" s="271" t="s">
        <v>36</v>
      </c>
      <c r="E4" s="261"/>
    </row>
    <row r="5" spans="1:5" x14ac:dyDescent="0.25">
      <c r="A5" s="262"/>
      <c r="B5" s="261"/>
      <c r="C5" s="261"/>
      <c r="D5" s="263"/>
      <c r="E5" s="261"/>
    </row>
    <row r="6" spans="1:5" x14ac:dyDescent="0.25">
      <c r="A6" s="264" t="s">
        <v>50</v>
      </c>
      <c r="B6" s="273"/>
      <c r="C6" s="273"/>
      <c r="D6" s="265"/>
      <c r="E6" s="261"/>
    </row>
    <row r="7" spans="1:5" x14ac:dyDescent="0.25">
      <c r="A7" s="264"/>
      <c r="B7" s="273"/>
      <c r="C7" s="273"/>
      <c r="D7" s="265"/>
      <c r="E7" s="261"/>
    </row>
    <row r="8" spans="1:5" x14ac:dyDescent="0.25">
      <c r="A8" s="264"/>
      <c r="B8" s="274"/>
      <c r="C8" s="274"/>
      <c r="D8" s="267"/>
      <c r="E8" s="261"/>
    </row>
    <row r="9" spans="1:5" x14ac:dyDescent="0.25">
      <c r="A9" s="262"/>
      <c r="B9" s="261"/>
      <c r="C9" s="261"/>
      <c r="D9" s="263"/>
      <c r="E9" s="261"/>
    </row>
    <row r="10" spans="1:5" x14ac:dyDescent="0.25">
      <c r="A10" s="264" t="s">
        <v>51</v>
      </c>
      <c r="B10" s="275"/>
      <c r="C10" s="275"/>
      <c r="D10" s="266"/>
      <c r="E10" s="261"/>
    </row>
    <row r="11" spans="1:5" x14ac:dyDescent="0.25">
      <c r="A11" s="264"/>
      <c r="B11" s="275"/>
      <c r="C11" s="275"/>
      <c r="D11" s="266"/>
      <c r="E11" s="261"/>
    </row>
    <row r="12" spans="1:5" x14ac:dyDescent="0.25">
      <c r="A12" s="264"/>
      <c r="B12" s="275"/>
      <c r="C12" s="275"/>
      <c r="D12" s="266"/>
      <c r="E12" s="261"/>
    </row>
    <row r="13" spans="1:5" x14ac:dyDescent="0.25">
      <c r="A13" s="276"/>
      <c r="B13" s="261"/>
      <c r="C13" s="261"/>
      <c r="D13" s="263"/>
      <c r="E13" s="261"/>
    </row>
    <row r="14" spans="1:5" x14ac:dyDescent="0.25">
      <c r="A14" s="264" t="s">
        <v>52</v>
      </c>
      <c r="B14" s="275"/>
      <c r="C14" s="275"/>
      <c r="D14" s="266"/>
      <c r="E14" s="261"/>
    </row>
    <row r="15" spans="1:5" x14ac:dyDescent="0.25">
      <c r="A15" s="264"/>
      <c r="B15" s="275"/>
      <c r="C15" s="275"/>
      <c r="D15" s="266"/>
      <c r="E15" s="261"/>
    </row>
    <row r="16" spans="1:5" x14ac:dyDescent="0.25">
      <c r="A16" s="264"/>
      <c r="B16" s="275"/>
      <c r="C16" s="275"/>
      <c r="D16" s="266"/>
      <c r="E16" s="261"/>
    </row>
    <row r="17" spans="1:5" x14ac:dyDescent="0.25">
      <c r="A17" s="262"/>
      <c r="B17" s="261"/>
      <c r="C17" s="261"/>
      <c r="D17" s="263"/>
      <c r="E17" s="261"/>
    </row>
    <row r="18" spans="1:5" x14ac:dyDescent="0.25">
      <c r="A18" s="264" t="s">
        <v>53</v>
      </c>
      <c r="B18" s="273"/>
      <c r="C18" s="273"/>
      <c r="D18" s="265"/>
      <c r="E18" s="261"/>
    </row>
    <row r="19" spans="1:5" x14ac:dyDescent="0.25">
      <c r="A19" s="264"/>
      <c r="B19" s="273"/>
      <c r="C19" s="273"/>
      <c r="D19" s="265"/>
      <c r="E19" s="261"/>
    </row>
    <row r="20" spans="1:5" x14ac:dyDescent="0.25">
      <c r="A20" s="264"/>
      <c r="B20" s="274"/>
      <c r="C20" s="274"/>
      <c r="D20" s="267"/>
      <c r="E20" s="261"/>
    </row>
    <row r="21" spans="1:5" x14ac:dyDescent="0.25">
      <c r="A21" s="262"/>
      <c r="B21" s="261"/>
      <c r="C21" s="261"/>
      <c r="D21" s="263"/>
      <c r="E21" s="261"/>
    </row>
    <row r="22" spans="1:5" x14ac:dyDescent="0.25">
      <c r="A22" s="264" t="s">
        <v>32</v>
      </c>
      <c r="B22" s="275"/>
      <c r="C22" s="275"/>
      <c r="D22" s="266"/>
      <c r="E22" s="261"/>
    </row>
    <row r="23" spans="1:5" x14ac:dyDescent="0.25">
      <c r="A23" s="264"/>
      <c r="B23" s="275"/>
      <c r="C23" s="275"/>
      <c r="D23" s="266"/>
      <c r="E23" s="261"/>
    </row>
    <row r="24" spans="1:5" x14ac:dyDescent="0.25">
      <c r="A24" s="264"/>
      <c r="B24" s="275"/>
      <c r="C24" s="275"/>
      <c r="D24" s="266"/>
      <c r="E24" s="261"/>
    </row>
    <row r="25" spans="1:5" x14ac:dyDescent="0.25">
      <c r="A25" s="262"/>
      <c r="B25" s="261"/>
      <c r="C25" s="261"/>
      <c r="D25" s="263"/>
      <c r="E25" s="261"/>
    </row>
    <row r="26" spans="1:5" x14ac:dyDescent="0.25">
      <c r="A26" s="264" t="s">
        <v>33</v>
      </c>
      <c r="B26" s="275"/>
      <c r="C26" s="275"/>
      <c r="D26" s="266"/>
      <c r="E26" s="261"/>
    </row>
    <row r="27" spans="1:5" x14ac:dyDescent="0.25">
      <c r="A27" s="264"/>
      <c r="B27" s="275"/>
      <c r="C27" s="275"/>
      <c r="D27" s="266"/>
      <c r="E27" s="261"/>
    </row>
    <row r="28" spans="1:5" x14ac:dyDescent="0.25">
      <c r="A28" s="264"/>
      <c r="B28" s="275"/>
      <c r="C28" s="275"/>
      <c r="D28" s="266"/>
      <c r="E28" s="261"/>
    </row>
    <row r="29" spans="1:5" x14ac:dyDescent="0.25">
      <c r="A29" s="262"/>
      <c r="B29" s="261"/>
      <c r="C29" s="261"/>
      <c r="D29" s="263"/>
      <c r="E29" s="261"/>
    </row>
    <row r="30" spans="1:5" x14ac:dyDescent="0.25">
      <c r="A30" s="264" t="s">
        <v>34</v>
      </c>
      <c r="B30" s="275"/>
      <c r="C30" s="275"/>
      <c r="D30" s="266"/>
      <c r="E30" s="261"/>
    </row>
    <row r="31" spans="1:5" x14ac:dyDescent="0.25">
      <c r="A31" s="264"/>
      <c r="B31" s="275"/>
      <c r="C31" s="275"/>
      <c r="D31" s="266"/>
      <c r="E31" s="261"/>
    </row>
    <row r="32" spans="1:5" x14ac:dyDescent="0.25">
      <c r="A32" s="264"/>
      <c r="B32" s="275"/>
      <c r="C32" s="275"/>
      <c r="D32" s="266"/>
      <c r="E32" s="261"/>
    </row>
    <row r="33" spans="1:5" x14ac:dyDescent="0.25">
      <c r="A33" s="262"/>
      <c r="B33" s="261"/>
      <c r="C33" s="261"/>
      <c r="D33" s="263"/>
      <c r="E33" s="261"/>
    </row>
    <row r="34" spans="1:5" x14ac:dyDescent="0.25">
      <c r="A34" s="264" t="s">
        <v>35</v>
      </c>
      <c r="B34" s="275"/>
      <c r="C34" s="275"/>
      <c r="D34" s="266"/>
      <c r="E34" s="261"/>
    </row>
    <row r="35" spans="1:5" x14ac:dyDescent="0.25">
      <c r="A35" s="264"/>
      <c r="B35" s="275"/>
      <c r="C35" s="275"/>
      <c r="D35" s="266"/>
      <c r="E35" s="261"/>
    </row>
    <row r="36" spans="1:5" x14ac:dyDescent="0.25">
      <c r="A36" s="264"/>
      <c r="B36" s="275"/>
      <c r="C36" s="275"/>
      <c r="D36" s="266"/>
      <c r="E36" s="261"/>
    </row>
    <row r="37" spans="1:5" x14ac:dyDescent="0.25">
      <c r="A37" s="264"/>
      <c r="B37" s="277"/>
      <c r="C37" s="275"/>
      <c r="D37" s="266"/>
      <c r="E37" s="261"/>
    </row>
    <row r="38" spans="1:5" x14ac:dyDescent="0.25">
      <c r="A38" s="264"/>
      <c r="B38" s="275"/>
      <c r="C38" s="275"/>
      <c r="D38" s="266"/>
      <c r="E38" s="261"/>
    </row>
    <row r="39" spans="1:5" x14ac:dyDescent="0.25">
      <c r="A39" s="262"/>
      <c r="B39" s="261"/>
      <c r="C39" s="261"/>
      <c r="D39" s="263"/>
      <c r="E39" s="261"/>
    </row>
    <row r="40" spans="1:5" x14ac:dyDescent="0.25">
      <c r="A40" s="264" t="s">
        <v>54</v>
      </c>
      <c r="B40" s="275"/>
      <c r="C40" s="278"/>
      <c r="D40" s="266"/>
      <c r="E40" s="261"/>
    </row>
    <row r="41" spans="1:5" x14ac:dyDescent="0.25">
      <c r="A41" s="264"/>
      <c r="B41" s="275"/>
      <c r="C41" s="275"/>
      <c r="D41" s="266"/>
      <c r="E41" s="261"/>
    </row>
    <row r="42" spans="1:5" x14ac:dyDescent="0.25">
      <c r="A42" s="264"/>
      <c r="B42" s="275"/>
      <c r="C42" s="278"/>
      <c r="D42" s="266"/>
      <c r="E42" s="261"/>
    </row>
    <row r="43" spans="1:5" x14ac:dyDescent="0.25">
      <c r="A43" s="262"/>
      <c r="B43" s="261"/>
      <c r="C43" s="261"/>
      <c r="D43" s="263"/>
      <c r="E43" s="261"/>
    </row>
    <row r="44" spans="1:5" x14ac:dyDescent="0.25">
      <c r="A44" s="264" t="s">
        <v>55</v>
      </c>
      <c r="B44" s="277"/>
      <c r="C44" s="277"/>
      <c r="D44" s="266"/>
      <c r="E44" s="261"/>
    </row>
    <row r="45" spans="1:5" x14ac:dyDescent="0.25">
      <c r="A45" s="264"/>
      <c r="B45" s="277"/>
      <c r="C45" s="277"/>
      <c r="D45" s="266"/>
      <c r="E45" s="261"/>
    </row>
    <row r="46" spans="1:5" x14ac:dyDescent="0.25">
      <c r="A46" s="264"/>
      <c r="B46" s="277"/>
      <c r="C46" s="277"/>
      <c r="D46" s="266"/>
      <c r="E46" s="261"/>
    </row>
    <row r="47" spans="1:5" x14ac:dyDescent="0.25">
      <c r="A47" s="262"/>
      <c r="B47" s="261"/>
      <c r="C47" s="261"/>
      <c r="D47" s="263"/>
      <c r="E47" s="261"/>
    </row>
    <row r="48" spans="1:5" x14ac:dyDescent="0.25">
      <c r="A48" s="264" t="s">
        <v>56</v>
      </c>
      <c r="B48" s="277"/>
      <c r="C48" s="277"/>
      <c r="D48" s="266"/>
      <c r="E48" s="261"/>
    </row>
    <row r="49" spans="1:5" x14ac:dyDescent="0.25">
      <c r="A49" s="264"/>
      <c r="B49" s="277"/>
      <c r="C49" s="277"/>
      <c r="D49" s="266"/>
      <c r="E49" s="261"/>
    </row>
    <row r="50" spans="1:5" x14ac:dyDescent="0.25">
      <c r="A50" s="264"/>
      <c r="B50" s="277"/>
      <c r="C50" s="277"/>
      <c r="D50" s="266"/>
      <c r="E50" s="261"/>
    </row>
    <row r="51" spans="1:5" x14ac:dyDescent="0.25">
      <c r="A51" s="262"/>
      <c r="B51" s="261"/>
      <c r="C51" s="261"/>
      <c r="D51" s="263"/>
      <c r="E51" s="261"/>
    </row>
    <row r="52" spans="1:5" x14ac:dyDescent="0.25">
      <c r="A52" s="264" t="s">
        <v>57</v>
      </c>
      <c r="B52" s="277"/>
      <c r="C52" s="277"/>
      <c r="D52" s="266"/>
      <c r="E52" s="261"/>
    </row>
    <row r="53" spans="1:5" x14ac:dyDescent="0.25">
      <c r="A53" s="264"/>
      <c r="B53" s="277"/>
      <c r="C53" s="277"/>
      <c r="D53" s="266"/>
      <c r="E53" s="261"/>
    </row>
    <row r="54" spans="1:5" x14ac:dyDescent="0.25">
      <c r="A54" s="264"/>
      <c r="B54" s="279"/>
      <c r="C54" s="279"/>
      <c r="D54" s="266"/>
      <c r="E54" s="261"/>
    </row>
    <row r="55" spans="1:5" ht="13" thickBot="1" x14ac:dyDescent="0.3">
      <c r="A55" s="268"/>
      <c r="B55" s="269"/>
      <c r="C55" s="269"/>
      <c r="D55" s="270"/>
      <c r="E55" s="261"/>
    </row>
  </sheetData>
  <mergeCells count="1">
    <mergeCell ref="A4:B4"/>
  </mergeCells>
  <pageMargins left="0.19685039370078741" right="0.70866141732283472" top="0.78740157480314965" bottom="0.78740157480314965" header="0.31496062992125984" footer="0.31496062992125984"/>
  <pageSetup paperSize="9" scale="6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9"/>
  <dimension ref="A2:M17"/>
  <sheetViews>
    <sheetView workbookViewId="0"/>
  </sheetViews>
  <sheetFormatPr baseColWidth="10" defaultRowHeight="12.5" x14ac:dyDescent="0.25"/>
  <sheetData>
    <row r="2" spans="1:13" x14ac:dyDescent="0.25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"/>
    </row>
    <row r="3" spans="1:13" x14ac:dyDescent="0.25">
      <c r="A3" s="280"/>
      <c r="B3" s="280"/>
      <c r="C3" s="280"/>
      <c r="D3" s="280"/>
      <c r="E3" s="280"/>
      <c r="F3" s="280"/>
      <c r="G3" s="280"/>
      <c r="H3" s="280"/>
      <c r="I3" s="280"/>
      <c r="J3" s="280"/>
      <c r="K3" s="3"/>
    </row>
    <row r="4" spans="1:13" x14ac:dyDescent="0.25">
      <c r="A4" s="280"/>
      <c r="B4" s="280"/>
      <c r="C4" s="280"/>
      <c r="D4" s="280"/>
      <c r="E4" s="280"/>
      <c r="F4" s="280"/>
      <c r="G4" s="280"/>
      <c r="H4" s="280"/>
      <c r="I4" s="280"/>
      <c r="J4" s="280"/>
      <c r="K4" s="3"/>
    </row>
    <row r="5" spans="1:13" x14ac:dyDescent="0.25">
      <c r="A5" s="280"/>
      <c r="B5" s="280"/>
      <c r="C5" s="280"/>
      <c r="D5" s="280"/>
      <c r="E5" s="280"/>
      <c r="F5" s="280"/>
      <c r="G5" s="280"/>
      <c r="H5" s="280"/>
      <c r="I5" s="280"/>
      <c r="J5" s="280"/>
      <c r="K5" s="3"/>
    </row>
    <row r="6" spans="1:13" x14ac:dyDescent="0.25">
      <c r="A6" s="280"/>
      <c r="B6" s="280"/>
      <c r="C6" s="280"/>
      <c r="D6" s="280"/>
      <c r="E6" s="280"/>
      <c r="F6" s="280"/>
      <c r="G6" s="280"/>
      <c r="H6" s="280"/>
      <c r="I6" s="280"/>
      <c r="J6" s="280"/>
      <c r="K6" s="3"/>
    </row>
    <row r="7" spans="1:13" x14ac:dyDescent="0.25">
      <c r="A7" s="280"/>
      <c r="B7" s="280"/>
      <c r="C7" s="280"/>
      <c r="D7" s="280"/>
      <c r="E7" s="280"/>
      <c r="F7" s="280"/>
      <c r="G7" s="280"/>
      <c r="H7" s="280"/>
      <c r="I7" s="280"/>
      <c r="J7" s="280"/>
      <c r="K7" s="3"/>
    </row>
    <row r="8" spans="1:13" x14ac:dyDescent="0.25">
      <c r="A8" s="280"/>
      <c r="B8" s="280"/>
      <c r="C8" s="280"/>
      <c r="D8" s="280"/>
      <c r="E8" s="280"/>
      <c r="F8" s="280"/>
      <c r="G8" s="280"/>
      <c r="H8" s="280"/>
      <c r="I8" s="280"/>
      <c r="J8" s="280"/>
      <c r="K8" s="3"/>
    </row>
    <row r="9" spans="1:13" x14ac:dyDescent="0.25">
      <c r="A9" s="280"/>
      <c r="B9" s="280"/>
      <c r="C9" s="280"/>
      <c r="D9" s="280"/>
      <c r="E9" s="280"/>
      <c r="F9" s="280"/>
      <c r="G9" s="280"/>
      <c r="H9" s="280"/>
      <c r="I9" s="280"/>
      <c r="J9" s="280"/>
      <c r="K9" s="3"/>
      <c r="M9" s="3"/>
    </row>
    <row r="10" spans="1:13" x14ac:dyDescent="0.25">
      <c r="A10" s="280"/>
      <c r="B10" s="280"/>
      <c r="C10" s="280"/>
      <c r="D10" s="280"/>
      <c r="E10" s="280"/>
      <c r="F10" s="280"/>
      <c r="G10" s="280"/>
      <c r="H10" s="280"/>
      <c r="I10" s="280"/>
      <c r="J10" s="280"/>
      <c r="K10" s="3"/>
    </row>
    <row r="11" spans="1:13" x14ac:dyDescent="0.25">
      <c r="A11" s="280"/>
      <c r="B11" s="280"/>
      <c r="C11" s="280"/>
      <c r="D11" s="280"/>
      <c r="E11" s="280"/>
      <c r="F11" s="280"/>
      <c r="G11" s="280"/>
      <c r="H11" s="280"/>
      <c r="I11" s="280"/>
      <c r="J11" s="280"/>
      <c r="K11" s="3"/>
    </row>
    <row r="12" spans="1:13" x14ac:dyDescent="0.25">
      <c r="A12" s="280"/>
      <c r="B12" s="280"/>
      <c r="C12" s="280"/>
      <c r="D12" s="280"/>
      <c r="E12" s="280"/>
      <c r="F12" s="280"/>
      <c r="G12" s="280"/>
      <c r="H12" s="280"/>
      <c r="I12" s="280"/>
      <c r="J12" s="280"/>
      <c r="K12" s="3"/>
    </row>
    <row r="13" spans="1:13" x14ac:dyDescent="0.25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3"/>
    </row>
    <row r="14" spans="1:13" x14ac:dyDescent="0.25">
      <c r="A14" s="280"/>
      <c r="B14" s="280"/>
      <c r="C14" s="280"/>
      <c r="D14" s="280"/>
      <c r="E14" s="280"/>
      <c r="F14" s="280"/>
      <c r="G14" s="280"/>
      <c r="H14" s="280"/>
      <c r="I14" s="280"/>
      <c r="J14" s="280"/>
      <c r="K14" s="3"/>
    </row>
    <row r="15" spans="1:13" x14ac:dyDescent="0.25">
      <c r="A15" s="280"/>
      <c r="B15" s="280"/>
      <c r="C15" s="280"/>
      <c r="D15" s="280"/>
      <c r="E15" s="280"/>
      <c r="F15" s="280"/>
      <c r="G15" s="280"/>
      <c r="H15" s="280"/>
      <c r="I15" s="280"/>
      <c r="J15" s="280"/>
      <c r="K15" s="3"/>
    </row>
    <row r="16" spans="1:13" x14ac:dyDescent="0.25">
      <c r="A16" s="280"/>
      <c r="B16" s="280"/>
      <c r="C16" s="280"/>
      <c r="D16" s="280"/>
      <c r="E16" s="280"/>
      <c r="F16" s="280"/>
      <c r="G16" s="280"/>
      <c r="H16" s="280"/>
      <c r="I16" s="280"/>
      <c r="J16" s="280"/>
      <c r="K16" s="3"/>
    </row>
    <row r="17" spans="11:11" x14ac:dyDescent="0.25">
      <c r="K17" s="3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>
    <pageSetUpPr fitToPage="1"/>
  </sheetPr>
  <dimension ref="A1:R27"/>
  <sheetViews>
    <sheetView workbookViewId="0"/>
  </sheetViews>
  <sheetFormatPr baseColWidth="10" defaultRowHeight="12.5" x14ac:dyDescent="0.25"/>
  <cols>
    <col min="7" max="7" width="17.26953125" customWidth="1"/>
    <col min="8" max="8" width="4.1796875" customWidth="1"/>
    <col min="9" max="9" width="34" customWidth="1"/>
    <col min="15" max="15" width="43.81640625" customWidth="1"/>
  </cols>
  <sheetData>
    <row r="1" spans="1:17" x14ac:dyDescent="0.25">
      <c r="A1" s="3"/>
    </row>
    <row r="2" spans="1:17" x14ac:dyDescent="0.25">
      <c r="Q2" s="3"/>
    </row>
    <row r="3" spans="1:17" ht="13" x14ac:dyDescent="0.3">
      <c r="A3" s="59" t="s">
        <v>24</v>
      </c>
    </row>
    <row r="4" spans="1:17" ht="13" x14ac:dyDescent="0.3">
      <c r="A4" s="59"/>
    </row>
    <row r="5" spans="1:17" x14ac:dyDescent="0.25">
      <c r="A5" s="80" t="s">
        <v>31</v>
      </c>
      <c r="B5" s="80" t="s">
        <v>27</v>
      </c>
      <c r="C5" s="246" t="s">
        <v>28</v>
      </c>
      <c r="D5" s="81" t="s">
        <v>29</v>
      </c>
      <c r="E5" s="82"/>
      <c r="F5" s="82"/>
      <c r="G5" s="82"/>
      <c r="H5" s="245"/>
      <c r="I5" s="81" t="s">
        <v>30</v>
      </c>
      <c r="J5" s="82"/>
      <c r="K5" s="82"/>
      <c r="L5" s="245"/>
      <c r="M5" s="81" t="s">
        <v>25</v>
      </c>
      <c r="N5" s="82"/>
      <c r="O5" s="245"/>
      <c r="P5" s="80" t="s">
        <v>26</v>
      </c>
      <c r="Q5" s="82"/>
    </row>
    <row r="7" spans="1:17" ht="13" x14ac:dyDescent="0.3">
      <c r="A7" s="281"/>
      <c r="B7" s="281"/>
      <c r="C7" s="282"/>
      <c r="D7" s="283"/>
      <c r="E7" s="281"/>
      <c r="F7" s="281"/>
      <c r="G7" s="281"/>
      <c r="H7" s="282"/>
      <c r="I7" s="283"/>
      <c r="J7" s="281"/>
      <c r="K7" s="281"/>
      <c r="L7" s="282"/>
      <c r="M7" s="283"/>
      <c r="N7" s="281"/>
      <c r="O7" s="282"/>
      <c r="P7" s="281"/>
      <c r="Q7" s="281"/>
    </row>
    <row r="8" spans="1:17" ht="13" x14ac:dyDescent="0.3">
      <c r="A8" s="281"/>
      <c r="B8" s="281"/>
      <c r="C8" s="282"/>
      <c r="D8" s="283"/>
      <c r="E8" s="281"/>
      <c r="F8" s="281"/>
      <c r="G8" s="281"/>
      <c r="H8" s="282"/>
      <c r="I8" s="283"/>
      <c r="J8" s="281"/>
      <c r="K8" s="281"/>
      <c r="L8" s="282"/>
      <c r="M8" s="283"/>
      <c r="N8" s="281"/>
      <c r="O8" s="282"/>
      <c r="P8" s="281"/>
      <c r="Q8" s="281"/>
    </row>
    <row r="9" spans="1:17" ht="13" x14ac:dyDescent="0.3">
      <c r="A9" s="281"/>
      <c r="B9" s="281"/>
      <c r="C9" s="282"/>
      <c r="D9" s="283"/>
      <c r="E9" s="281"/>
      <c r="F9" s="281"/>
      <c r="G9" s="281"/>
      <c r="H9" s="282"/>
      <c r="I9" s="283"/>
      <c r="J9" s="281"/>
      <c r="K9" s="281"/>
      <c r="L9" s="282"/>
      <c r="M9" s="283"/>
      <c r="N9" s="281"/>
      <c r="O9" s="282"/>
      <c r="P9" s="281"/>
      <c r="Q9" s="281"/>
    </row>
    <row r="10" spans="1:17" ht="13" x14ac:dyDescent="0.3">
      <c r="A10" s="281"/>
      <c r="B10" s="281"/>
      <c r="C10" s="282"/>
      <c r="D10" s="283"/>
      <c r="E10" s="281"/>
      <c r="F10" s="281"/>
      <c r="G10" s="281"/>
      <c r="H10" s="282"/>
      <c r="I10" s="283"/>
      <c r="J10" s="281"/>
      <c r="K10" s="281"/>
      <c r="L10" s="282"/>
      <c r="M10" s="283"/>
      <c r="N10" s="281"/>
      <c r="O10" s="282"/>
      <c r="P10" s="281"/>
      <c r="Q10" s="281"/>
    </row>
    <row r="11" spans="1:17" ht="13" x14ac:dyDescent="0.3">
      <c r="A11" s="281"/>
      <c r="B11" s="281"/>
      <c r="C11" s="282"/>
      <c r="D11" s="283"/>
      <c r="E11" s="281"/>
      <c r="F11" s="281"/>
      <c r="G11" s="281"/>
      <c r="H11" s="282"/>
      <c r="I11" s="283"/>
      <c r="J11" s="281"/>
      <c r="K11" s="281"/>
      <c r="L11" s="282"/>
      <c r="M11" s="283"/>
      <c r="N11" s="281"/>
      <c r="O11" s="282"/>
      <c r="P11" s="281"/>
      <c r="Q11" s="281"/>
    </row>
    <row r="12" spans="1:17" ht="13" x14ac:dyDescent="0.3">
      <c r="A12" s="281"/>
      <c r="B12" s="281"/>
      <c r="C12" s="282"/>
      <c r="D12" s="283"/>
      <c r="E12" s="281"/>
      <c r="F12" s="281"/>
      <c r="G12" s="281"/>
      <c r="H12" s="282"/>
      <c r="I12" s="283"/>
      <c r="J12" s="281"/>
      <c r="K12" s="281"/>
      <c r="L12" s="282"/>
      <c r="M12" s="283"/>
      <c r="N12" s="281"/>
      <c r="O12" s="282"/>
      <c r="P12" s="281"/>
      <c r="Q12" s="281"/>
    </row>
    <row r="13" spans="1:17" ht="13" x14ac:dyDescent="0.3">
      <c r="A13" s="281"/>
      <c r="B13" s="281"/>
      <c r="C13" s="282"/>
      <c r="D13" s="283"/>
      <c r="E13" s="281"/>
      <c r="F13" s="281"/>
      <c r="G13" s="281"/>
      <c r="H13" s="282"/>
      <c r="I13" s="283"/>
      <c r="J13" s="281"/>
      <c r="K13" s="281"/>
      <c r="L13" s="282"/>
      <c r="M13" s="283"/>
      <c r="N13" s="281"/>
      <c r="O13" s="282"/>
      <c r="P13" s="281"/>
      <c r="Q13" s="281"/>
    </row>
    <row r="14" spans="1:17" ht="13" x14ac:dyDescent="0.3">
      <c r="A14" s="281"/>
      <c r="B14" s="281"/>
      <c r="C14" s="282"/>
      <c r="D14" s="283"/>
      <c r="E14" s="281"/>
      <c r="F14" s="281"/>
      <c r="G14" s="281"/>
      <c r="H14" s="282"/>
      <c r="I14" s="283"/>
      <c r="J14" s="281"/>
      <c r="K14" s="281"/>
      <c r="L14" s="282"/>
      <c r="M14" s="283"/>
      <c r="N14" s="281"/>
      <c r="O14" s="282"/>
      <c r="P14" s="281"/>
      <c r="Q14" s="281"/>
    </row>
    <row r="15" spans="1:17" ht="13" x14ac:dyDescent="0.3">
      <c r="A15" s="281"/>
      <c r="B15" s="281"/>
      <c r="C15" s="282"/>
      <c r="D15" s="283"/>
      <c r="E15" s="281"/>
      <c r="F15" s="281"/>
      <c r="G15" s="281"/>
      <c r="H15" s="282"/>
      <c r="I15" s="283"/>
      <c r="J15" s="281"/>
      <c r="K15" s="281"/>
      <c r="L15" s="282"/>
      <c r="M15" s="283"/>
      <c r="N15" s="281"/>
      <c r="O15" s="282"/>
      <c r="P15" s="281"/>
      <c r="Q15" s="281"/>
    </row>
    <row r="16" spans="1:17" ht="13" x14ac:dyDescent="0.3">
      <c r="A16" s="281"/>
      <c r="B16" s="281"/>
      <c r="C16" s="282"/>
      <c r="D16" s="283"/>
      <c r="E16" s="281"/>
      <c r="F16" s="281"/>
      <c r="G16" s="281"/>
      <c r="H16" s="282"/>
      <c r="I16" s="283"/>
      <c r="J16" s="281"/>
      <c r="K16" s="281"/>
      <c r="L16" s="282"/>
      <c r="M16" s="283"/>
      <c r="N16" s="281"/>
      <c r="O16" s="282"/>
      <c r="P16" s="281"/>
      <c r="Q16" s="281"/>
    </row>
    <row r="17" spans="1:18" ht="13" x14ac:dyDescent="0.3">
      <c r="A17" s="281"/>
      <c r="B17" s="281"/>
      <c r="C17" s="282"/>
      <c r="D17" s="283"/>
      <c r="E17" s="281"/>
      <c r="F17" s="281"/>
      <c r="G17" s="281"/>
      <c r="H17" s="282"/>
      <c r="I17" s="283"/>
      <c r="J17" s="281"/>
      <c r="K17" s="281"/>
      <c r="L17" s="282"/>
      <c r="M17" s="283"/>
      <c r="N17" s="281"/>
      <c r="O17" s="282"/>
      <c r="P17" s="281"/>
      <c r="Q17" s="281"/>
      <c r="R17" s="4"/>
    </row>
    <row r="18" spans="1:18" ht="13" x14ac:dyDescent="0.3">
      <c r="A18" s="281"/>
      <c r="B18" s="281"/>
      <c r="C18" s="282"/>
      <c r="D18" s="283"/>
      <c r="E18" s="281"/>
      <c r="F18" s="281"/>
      <c r="G18" s="281"/>
      <c r="H18" s="282"/>
      <c r="I18" s="283"/>
      <c r="J18" s="281"/>
      <c r="K18" s="281"/>
      <c r="L18" s="282"/>
      <c r="M18" s="283"/>
      <c r="N18" s="281"/>
      <c r="O18" s="282"/>
      <c r="P18" s="281"/>
      <c r="Q18" s="281"/>
    </row>
    <row r="19" spans="1:18" ht="13" x14ac:dyDescent="0.3">
      <c r="A19" s="281"/>
      <c r="B19" s="281"/>
      <c r="C19" s="282"/>
      <c r="D19" s="283"/>
      <c r="E19" s="281"/>
      <c r="F19" s="281"/>
      <c r="G19" s="281"/>
      <c r="H19" s="282"/>
      <c r="I19" s="283"/>
      <c r="J19" s="281"/>
      <c r="K19" s="281"/>
      <c r="L19" s="282"/>
      <c r="M19" s="283"/>
      <c r="N19" s="281"/>
      <c r="O19" s="282"/>
      <c r="P19" s="281"/>
      <c r="Q19" s="281"/>
    </row>
    <row r="20" spans="1:18" ht="13" x14ac:dyDescent="0.3">
      <c r="A20" s="281"/>
      <c r="B20" s="281"/>
      <c r="C20" s="282"/>
      <c r="D20" s="283"/>
      <c r="E20" s="281"/>
      <c r="F20" s="281"/>
      <c r="G20" s="281"/>
      <c r="H20" s="282"/>
      <c r="I20" s="283"/>
      <c r="J20" s="281"/>
      <c r="K20" s="281"/>
      <c r="L20" s="282"/>
      <c r="M20" s="283"/>
      <c r="N20" s="281"/>
      <c r="O20" s="282"/>
      <c r="P20" s="281"/>
      <c r="Q20" s="281"/>
    </row>
    <row r="21" spans="1:18" ht="13" x14ac:dyDescent="0.3">
      <c r="A21" s="281"/>
      <c r="B21" s="281"/>
      <c r="C21" s="282"/>
      <c r="D21" s="283"/>
      <c r="E21" s="281"/>
      <c r="F21" s="281"/>
      <c r="G21" s="281"/>
      <c r="H21" s="282"/>
      <c r="I21" s="283"/>
      <c r="J21" s="281"/>
      <c r="K21" s="281"/>
      <c r="L21" s="282"/>
      <c r="M21" s="283"/>
      <c r="N21" s="281"/>
      <c r="O21" s="282"/>
      <c r="P21" s="281"/>
      <c r="Q21" s="281"/>
    </row>
    <row r="22" spans="1:18" ht="13" x14ac:dyDescent="0.3">
      <c r="A22" s="281"/>
      <c r="B22" s="281"/>
      <c r="C22" s="282"/>
      <c r="D22" s="283"/>
      <c r="E22" s="281"/>
      <c r="F22" s="281"/>
      <c r="G22" s="281"/>
      <c r="H22" s="282"/>
      <c r="I22" s="283"/>
      <c r="J22" s="281"/>
      <c r="K22" s="281"/>
      <c r="L22" s="282"/>
      <c r="M22" s="283"/>
      <c r="N22" s="281"/>
      <c r="O22" s="282"/>
      <c r="P22" s="281"/>
      <c r="Q22" s="281"/>
    </row>
    <row r="23" spans="1:18" ht="13" x14ac:dyDescent="0.3">
      <c r="A23" s="281"/>
      <c r="B23" s="281"/>
      <c r="C23" s="282"/>
      <c r="D23" s="283"/>
      <c r="E23" s="281"/>
      <c r="F23" s="281"/>
      <c r="G23" s="281"/>
      <c r="H23" s="282"/>
      <c r="I23" s="283"/>
      <c r="J23" s="281"/>
      <c r="K23" s="281"/>
      <c r="L23" s="282"/>
      <c r="M23" s="283"/>
      <c r="N23" s="281"/>
      <c r="O23" s="282"/>
      <c r="P23" s="281"/>
      <c r="Q23" s="281"/>
    </row>
    <row r="24" spans="1:18" ht="13" x14ac:dyDescent="0.3">
      <c r="A24" s="281"/>
      <c r="B24" s="281"/>
      <c r="C24" s="282"/>
      <c r="D24" s="283"/>
      <c r="E24" s="281"/>
      <c r="F24" s="281"/>
      <c r="G24" s="281"/>
      <c r="H24" s="282"/>
      <c r="I24" s="283"/>
      <c r="J24" s="281"/>
      <c r="K24" s="281"/>
      <c r="L24" s="282"/>
      <c r="M24" s="283"/>
      <c r="N24" s="281"/>
      <c r="O24" s="282"/>
      <c r="P24" s="281"/>
      <c r="Q24" s="281"/>
    </row>
    <row r="25" spans="1:18" ht="13" x14ac:dyDescent="0.3">
      <c r="A25" s="281"/>
      <c r="B25" s="281"/>
      <c r="C25" s="282"/>
      <c r="D25" s="283"/>
      <c r="E25" s="281"/>
      <c r="F25" s="281"/>
      <c r="G25" s="281"/>
      <c r="H25" s="282"/>
      <c r="I25" s="283"/>
      <c r="J25" s="281"/>
      <c r="K25" s="281"/>
      <c r="L25" s="282"/>
      <c r="M25" s="283"/>
      <c r="N25" s="281"/>
      <c r="O25" s="282"/>
      <c r="P25" s="281"/>
      <c r="Q25" s="281"/>
    </row>
    <row r="26" spans="1:18" ht="13" x14ac:dyDescent="0.3">
      <c r="A26" s="281"/>
      <c r="B26" s="281"/>
      <c r="C26" s="282"/>
      <c r="D26" s="283"/>
      <c r="E26" s="281"/>
      <c r="F26" s="281"/>
      <c r="G26" s="281"/>
      <c r="H26" s="282"/>
      <c r="I26" s="283"/>
      <c r="J26" s="281"/>
      <c r="K26" s="281"/>
      <c r="L26" s="282"/>
      <c r="M26" s="283"/>
      <c r="N26" s="281"/>
      <c r="O26" s="282"/>
      <c r="P26" s="281"/>
      <c r="Q26" s="281"/>
    </row>
    <row r="27" spans="1:18" ht="13" x14ac:dyDescent="0.3">
      <c r="A27" s="281"/>
      <c r="B27" s="281"/>
      <c r="C27" s="282"/>
      <c r="D27" s="283"/>
      <c r="E27" s="281"/>
      <c r="F27" s="281"/>
      <c r="G27" s="281"/>
      <c r="H27" s="282"/>
      <c r="I27" s="283"/>
      <c r="J27" s="281"/>
      <c r="K27" s="281"/>
      <c r="L27" s="282"/>
      <c r="M27" s="283"/>
      <c r="N27" s="281"/>
      <c r="O27" s="282"/>
      <c r="P27" s="281"/>
      <c r="Q27" s="281"/>
    </row>
  </sheetData>
  <pageMargins left="0.7" right="0.7" top="0.78740157499999996" bottom="0.78740157499999996" header="0.3" footer="0.3"/>
  <pageSetup paperSize="9" scale="5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3b5df20-5aa3-47c7-bf08-3e656d402312" xsi:nil="true"/>
    <lcf76f155ced4ddcb4097134ff3c332f xmlns="8a1481b5-007e-4a0c-a7b3-f5b5308a77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570B9E3FE8DF84393F3C0E10ABDBFC8" ma:contentTypeVersion="14" ma:contentTypeDescription="Ein neues Dokument erstellen." ma:contentTypeScope="" ma:versionID="440430c9eb96742db7d93a46b9f4ccf6">
  <xsd:schema xmlns:xsd="http://www.w3.org/2001/XMLSchema" xmlns:xs="http://www.w3.org/2001/XMLSchema" xmlns:p="http://schemas.microsoft.com/office/2006/metadata/properties" xmlns:ns2="8a1481b5-007e-4a0c-a7b3-f5b5308a77d8" xmlns:ns3="33b5df20-5aa3-47c7-bf08-3e656d402312" targetNamespace="http://schemas.microsoft.com/office/2006/metadata/properties" ma:root="true" ma:fieldsID="3d091da72516d77ca3789dc48fedbe1e" ns2:_="" ns3:_="">
    <xsd:import namespace="8a1481b5-007e-4a0c-a7b3-f5b5308a77d8"/>
    <xsd:import namespace="33b5df20-5aa3-47c7-bf08-3e656d4023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1481b5-007e-4a0c-a7b3-f5b5308a77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ildmarkierungen" ma:readOnly="false" ma:fieldId="{5cf76f15-5ced-4ddc-b409-7134ff3c332f}" ma:taxonomyMulti="true" ma:sspId="ea336cc1-c880-46a5-bde2-a0cdb5200fc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b5df20-5aa3-47c7-bf08-3e656d40231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b54b14bb-3514-42a0-9001-d8310b60e214}" ma:internalName="TaxCatchAll" ma:showField="CatchAllData" ma:web="33b5df20-5aa3-47c7-bf08-3e656d4023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8D4D5C-4CC4-4A50-B93C-A844993AFDE7}">
  <ds:schemaRefs>
    <ds:schemaRef ds:uri="http://schemas.microsoft.com/office/2006/metadata/properties"/>
    <ds:schemaRef ds:uri="http://schemas.microsoft.com/office/infopath/2007/PartnerControls"/>
    <ds:schemaRef ds:uri="33b5df20-5aa3-47c7-bf08-3e656d402312"/>
    <ds:schemaRef ds:uri="8a1481b5-007e-4a0c-a7b3-f5b5308a77d8"/>
  </ds:schemaRefs>
</ds:datastoreItem>
</file>

<file path=customXml/itemProps2.xml><?xml version="1.0" encoding="utf-8"?>
<ds:datastoreItem xmlns:ds="http://schemas.openxmlformats.org/officeDocument/2006/customXml" ds:itemID="{851A6FD6-925E-415C-9BDC-F1F22E51ECD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692707-FD32-486D-A68A-E0BC3F89C2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1481b5-007e-4a0c-a7b3-f5b5308a77d8"/>
    <ds:schemaRef ds:uri="33b5df20-5aa3-47c7-bf08-3e656d4023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</vt:i4>
      </vt:variant>
    </vt:vector>
  </HeadingPairs>
  <TitlesOfParts>
    <vt:vector size="9" baseType="lpstr">
      <vt:lpstr>Übersicht</vt:lpstr>
      <vt:lpstr>Vorlage_Total Auslastung</vt:lpstr>
      <vt:lpstr>Vorlage_Gruppen_bkp</vt:lpstr>
      <vt:lpstr>Vorlage_Gruppen</vt:lpstr>
      <vt:lpstr>Vorlage_Mutationen für Gruppen</vt:lpstr>
      <vt:lpstr>Vorlage_Mutationen</vt:lpstr>
      <vt:lpstr>Vorlage_Wünsche Eltern</vt:lpstr>
      <vt:lpstr>Vorlage_Gruppen!Druckbereich</vt:lpstr>
      <vt:lpstr>Vorlage_Gruppen_bkp!Druckbereich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 Fürst</dc:creator>
  <cp:keywords/>
  <dc:description/>
  <cp:lastModifiedBy>Jerome Sigg</cp:lastModifiedBy>
  <cp:revision>1</cp:revision>
  <cp:lastPrinted>2023-06-30T12:29:37Z</cp:lastPrinted>
  <dcterms:created xsi:type="dcterms:W3CDTF">2003-02-08T17:11:22Z</dcterms:created>
  <dcterms:modified xsi:type="dcterms:W3CDTF">2024-03-24T21:00:42Z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0x0101005570B9E3FE8DF84393F3C0E10ABDBFC8</vt:lpwstr>
  </property>
  <property fmtid="{D5CDD505-2E9C-101B-9397-08002B2CF9AE}" pid="3" name="Order">
    <vt:r8>2200</vt:r8>
  </property>
  <property fmtid="{D5CDD505-2E9C-101B-9397-08002B2CF9AE}" pid="4" name="MediaServiceImageTags">
    <vt:lpwstr/>
  </property>
</Properties>
</file>