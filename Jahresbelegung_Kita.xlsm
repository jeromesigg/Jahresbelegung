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checkCompatibility="1"/>
  <mc:AlternateContent xmlns:mc="http://schemas.openxmlformats.org/markup-compatibility/2006">
    <mc:Choice Requires="x15">
      <x15ac:absPath xmlns:x15ac="http://schemas.microsoft.com/office/spreadsheetml/2010/11/ac" url="C:\Users\jerom\Documents\Word-Dokumente\Freizeit\Programmieren\15_Programming\VBA\Kita\Jahresbelegung\"/>
    </mc:Choice>
  </mc:AlternateContent>
  <xr:revisionPtr revIDLastSave="0" documentId="13_ncr:1_{68B038C3-1DE3-4AE9-A62C-652732FF3C3E}" xr6:coauthVersionLast="47" xr6:coauthVersionMax="47" xr10:uidLastSave="{00000000-0000-0000-0000-000000000000}"/>
  <bookViews>
    <workbookView xWindow="-120" yWindow="-120" windowWidth="29040" windowHeight="1584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6" i="6" l="1"/>
  <c r="J35" i="6"/>
  <c r="J34" i="6"/>
  <c r="F36" i="6"/>
  <c r="J28" i="6"/>
  <c r="J27" i="6"/>
  <c r="J26" i="6"/>
  <c r="J20" i="6"/>
  <c r="J12" i="6"/>
  <c r="F28" i="6"/>
  <c r="F26" i="6"/>
  <c r="G26" i="6" s="1"/>
  <c r="G28" i="6" s="1"/>
  <c r="F20" i="6"/>
  <c r="F12" i="6"/>
  <c r="B36" i="6"/>
  <c r="B28" i="6"/>
  <c r="B20" i="6"/>
  <c r="B12" i="6"/>
  <c r="F27" i="6"/>
  <c r="J19" i="6"/>
  <c r="J18" i="6"/>
  <c r="F11" i="6"/>
  <c r="F10" i="6"/>
  <c r="G10" i="6" s="1"/>
  <c r="F35" i="6"/>
  <c r="G35" i="6" s="1"/>
  <c r="F34" i="6"/>
  <c r="F19" i="6"/>
  <c r="F18" i="6"/>
  <c r="J11" i="6"/>
  <c r="J10" i="6"/>
  <c r="K10" i="6" s="1"/>
  <c r="G11" i="6"/>
  <c r="B35" i="6"/>
  <c r="B34" i="6"/>
  <c r="B27" i="6"/>
  <c r="B26" i="6"/>
  <c r="B19" i="6"/>
  <c r="B18" i="6"/>
  <c r="B11" i="6"/>
  <c r="B10" i="6"/>
  <c r="K35" i="6"/>
  <c r="K34" i="6"/>
  <c r="K27" i="6"/>
  <c r="K26" i="6"/>
  <c r="K19" i="6"/>
  <c r="K18" i="6"/>
  <c r="K11" i="6"/>
  <c r="G34" i="6"/>
  <c r="G27" i="6"/>
  <c r="G19" i="6"/>
  <c r="G18" i="6"/>
  <c r="S7" i="15"/>
  <c r="AA7" i="15" s="1"/>
  <c r="AI7" i="15" s="1"/>
  <c r="AQ7" i="15" s="1"/>
  <c r="AY7" i="15" s="1"/>
  <c r="BG7" i="15" s="1"/>
  <c r="BO7" i="15" s="1"/>
  <c r="BW7" i="15" s="1"/>
  <c r="CE7" i="15" s="1"/>
  <c r="CM7" i="15" s="1"/>
  <c r="CU7" i="15" s="1"/>
  <c r="DC7" i="15" s="1"/>
  <c r="DK7" i="15" s="1"/>
  <c r="S8" i="15"/>
  <c r="AA8" i="15" s="1"/>
  <c r="AI8" i="15" s="1"/>
  <c r="AQ8" i="15" s="1"/>
  <c r="AY8" i="15" s="1"/>
  <c r="BG8" i="15" s="1"/>
  <c r="BO8" i="15" s="1"/>
  <c r="BW8" i="15" s="1"/>
  <c r="CE8" i="15" s="1"/>
  <c r="CM8" i="15" s="1"/>
  <c r="CU8" i="15" s="1"/>
  <c r="DC8" i="15" s="1"/>
  <c r="DK8" i="15" s="1"/>
  <c r="BZ8" i="15"/>
  <c r="BZ7" i="15"/>
  <c r="CD10" i="15"/>
  <c r="CC10" i="15"/>
  <c r="CB10" i="15"/>
  <c r="CA10" i="15"/>
  <c r="BZ10" i="15"/>
  <c r="DJ10" i="15"/>
  <c r="DI10" i="15"/>
  <c r="DH10" i="15"/>
  <c r="DG10" i="15"/>
  <c r="DB10" i="15"/>
  <c r="DA10" i="15"/>
  <c r="CZ10" i="15"/>
  <c r="CY10" i="15"/>
  <c r="CT10" i="15"/>
  <c r="CS10" i="15"/>
  <c r="CR10" i="15"/>
  <c r="CQ10" i="15"/>
  <c r="CL10" i="15"/>
  <c r="CK10" i="15"/>
  <c r="CJ10" i="15"/>
  <c r="CI10" i="15"/>
  <c r="BV10" i="15"/>
  <c r="BU10" i="15"/>
  <c r="BT10" i="15"/>
  <c r="BS10" i="15"/>
  <c r="BR10" i="15"/>
  <c r="BN10" i="15"/>
  <c r="BM10" i="15"/>
  <c r="BL10" i="15"/>
  <c r="BK10" i="15"/>
  <c r="BJ10" i="15"/>
  <c r="BO10" i="15" s="1"/>
  <c r="BF10" i="15"/>
  <c r="BE10" i="15"/>
  <c r="BD10" i="15"/>
  <c r="BC10" i="15"/>
  <c r="BB10" i="15"/>
  <c r="AX10" i="15"/>
  <c r="AW10" i="15"/>
  <c r="AV10" i="15"/>
  <c r="AU10" i="15"/>
  <c r="AT10" i="15"/>
  <c r="AY10" i="15" s="1"/>
  <c r="AP10" i="15"/>
  <c r="AO10" i="15"/>
  <c r="AN10" i="15"/>
  <c r="AM10" i="15"/>
  <c r="AL10" i="15"/>
  <c r="AH10" i="15"/>
  <c r="AG10" i="15"/>
  <c r="AF10" i="15"/>
  <c r="AE10" i="15"/>
  <c r="AD10" i="15"/>
  <c r="AI10" i="15" s="1"/>
  <c r="R10" i="15"/>
  <c r="Q10" i="15"/>
  <c r="P10" i="15"/>
  <c r="O10" i="15"/>
  <c r="N10" i="15"/>
  <c r="Z10" i="15"/>
  <c r="Y10" i="15"/>
  <c r="X10" i="15"/>
  <c r="W10" i="15"/>
  <c r="V10" i="15"/>
  <c r="G10" i="15"/>
  <c r="H10" i="15"/>
  <c r="I10" i="15"/>
  <c r="J10" i="15"/>
  <c r="K10" i="15"/>
  <c r="F10" i="15"/>
  <c r="DJ8" i="15"/>
  <c r="DI8" i="15"/>
  <c r="DH8" i="15"/>
  <c r="DG8" i="15"/>
  <c r="DB8" i="15"/>
  <c r="DA8" i="15"/>
  <c r="CZ8" i="15"/>
  <c r="CY8" i="15"/>
  <c r="CT8" i="15"/>
  <c r="CS8" i="15"/>
  <c r="CR8" i="15"/>
  <c r="CQ8" i="15"/>
  <c r="CL8" i="15"/>
  <c r="CK8" i="15"/>
  <c r="CJ8" i="15"/>
  <c r="CI8" i="15"/>
  <c r="CH8" i="15"/>
  <c r="CP8" i="15" s="1"/>
  <c r="CX8" i="15" s="1"/>
  <c r="DF8" i="15" s="1"/>
  <c r="CF8" i="15"/>
  <c r="CD8" i="15"/>
  <c r="CC8" i="15"/>
  <c r="CB8" i="15"/>
  <c r="CA8" i="15"/>
  <c r="BV8" i="15"/>
  <c r="BU8" i="15"/>
  <c r="BT8" i="15"/>
  <c r="BS8" i="15"/>
  <c r="BR8" i="15"/>
  <c r="BN8" i="15"/>
  <c r="BM8" i="15"/>
  <c r="BL8" i="15"/>
  <c r="BK8" i="15"/>
  <c r="BJ8" i="15"/>
  <c r="BF8" i="15"/>
  <c r="BE8" i="15"/>
  <c r="BD8" i="15"/>
  <c r="BC8" i="15"/>
  <c r="BB8" i="15"/>
  <c r="AX8" i="15"/>
  <c r="AW8" i="15"/>
  <c r="AV8" i="15"/>
  <c r="AU8" i="15"/>
  <c r="AT8" i="15"/>
  <c r="AP8" i="15"/>
  <c r="AO8" i="15"/>
  <c r="AN8" i="15"/>
  <c r="AM8" i="15"/>
  <c r="AL8" i="15"/>
  <c r="AH8" i="15"/>
  <c r="AG8" i="15"/>
  <c r="AF8" i="15"/>
  <c r="AE8" i="15"/>
  <c r="AD8" i="15"/>
  <c r="Z8" i="15"/>
  <c r="Y8" i="15"/>
  <c r="X8" i="15"/>
  <c r="W8" i="15"/>
  <c r="V8" i="15"/>
  <c r="R8" i="15"/>
  <c r="Q8" i="15"/>
  <c r="P8" i="15"/>
  <c r="O8" i="15"/>
  <c r="N8" i="15"/>
  <c r="C8" i="15"/>
  <c r="CF7" i="15"/>
  <c r="CH7" i="15"/>
  <c r="CH10" i="15" s="1"/>
  <c r="CM10" i="15" s="1"/>
  <c r="R7" i="15"/>
  <c r="Z7" i="15" s="1"/>
  <c r="Q7" i="15"/>
  <c r="Y7" i="15" s="1"/>
  <c r="P7" i="15"/>
  <c r="O7" i="15"/>
  <c r="N7" i="15"/>
  <c r="C7" i="15"/>
  <c r="CA3" i="15"/>
  <c r="BZ14" i="15"/>
  <c r="BZ13" i="15"/>
  <c r="CD11" i="15"/>
  <c r="CC11" i="15"/>
  <c r="CB11" i="15"/>
  <c r="CA11" i="15"/>
  <c r="BZ11" i="15"/>
  <c r="CE11" i="15" s="1"/>
  <c r="A3" i="15"/>
  <c r="BZ4" i="15" s="1"/>
  <c r="G14" i="15"/>
  <c r="H14" i="15"/>
  <c r="I14" i="15"/>
  <c r="J14" i="15"/>
  <c r="F14" i="15"/>
  <c r="DJ11" i="15"/>
  <c r="DI11" i="15"/>
  <c r="DH11" i="15"/>
  <c r="DG11" i="15"/>
  <c r="DF11" i="15"/>
  <c r="CT11" i="15"/>
  <c r="CS11" i="15"/>
  <c r="CR11" i="15"/>
  <c r="CQ11" i="15"/>
  <c r="CP11" i="15"/>
  <c r="DB11" i="15"/>
  <c r="DA11" i="15"/>
  <c r="CZ11" i="15"/>
  <c r="CY11" i="15"/>
  <c r="CX11" i="15"/>
  <c r="CL11" i="15"/>
  <c r="CK11" i="15"/>
  <c r="CJ11" i="15"/>
  <c r="CI11" i="15"/>
  <c r="CH11" i="15"/>
  <c r="BN11" i="15"/>
  <c r="BM11" i="15"/>
  <c r="BL11" i="15"/>
  <c r="BK11" i="15"/>
  <c r="BJ11" i="15"/>
  <c r="AX11" i="15"/>
  <c r="AW11" i="15"/>
  <c r="AV11" i="15"/>
  <c r="AU11" i="15"/>
  <c r="AT11" i="15"/>
  <c r="AH11" i="15"/>
  <c r="AG11" i="15"/>
  <c r="AF11" i="15"/>
  <c r="AE11" i="15"/>
  <c r="AD11" i="15"/>
  <c r="R11" i="15"/>
  <c r="Q11" i="15"/>
  <c r="P11" i="15"/>
  <c r="O11" i="15"/>
  <c r="N11" i="15"/>
  <c r="BV11" i="15"/>
  <c r="BU11" i="15"/>
  <c r="BT11" i="15"/>
  <c r="BS11" i="15"/>
  <c r="BR11" i="15"/>
  <c r="BF11" i="15"/>
  <c r="BE11" i="15"/>
  <c r="BD11" i="15"/>
  <c r="BC11" i="15"/>
  <c r="BB11" i="15"/>
  <c r="AP11" i="15"/>
  <c r="AO11" i="15"/>
  <c r="AN11" i="15"/>
  <c r="AM11" i="15"/>
  <c r="AL11" i="15"/>
  <c r="Z11" i="15"/>
  <c r="Y11" i="15"/>
  <c r="X11" i="15"/>
  <c r="W11" i="15"/>
  <c r="V11" i="15"/>
  <c r="J13" i="15"/>
  <c r="I13" i="15"/>
  <c r="H13" i="15"/>
  <c r="G13" i="15"/>
  <c r="F13" i="15"/>
  <c r="J11" i="15"/>
  <c r="I11" i="15"/>
  <c r="H11" i="15"/>
  <c r="G11" i="15"/>
  <c r="F11" i="15"/>
  <c r="A31" i="6"/>
  <c r="A23" i="6"/>
  <c r="A15" i="6"/>
  <c r="A6" i="6"/>
  <c r="K20" i="6" l="1"/>
  <c r="G20" i="6"/>
  <c r="G36" i="6"/>
  <c r="K12" i="6"/>
  <c r="K36" i="6"/>
  <c r="K28" i="6"/>
  <c r="G12" i="6"/>
  <c r="AH7" i="15"/>
  <c r="AG7" i="15"/>
  <c r="W7" i="15"/>
  <c r="X7" i="15"/>
  <c r="V7" i="15"/>
  <c r="CP7" i="15"/>
  <c r="CP10" i="15" s="1"/>
  <c r="BZ12" i="15"/>
  <c r="BR4" i="15"/>
  <c r="BJ4" i="15"/>
  <c r="V4" i="15"/>
  <c r="AD4" i="15"/>
  <c r="CH4" i="15"/>
  <c r="AL4" i="15"/>
  <c r="CP4" i="15"/>
  <c r="AT4" i="15"/>
  <c r="CX4" i="15"/>
  <c r="F4" i="15"/>
  <c r="BB4" i="15"/>
  <c r="DF4" i="15"/>
  <c r="N4" i="15"/>
  <c r="S11" i="15"/>
  <c r="C11" i="6" s="1"/>
  <c r="AI11" i="15"/>
  <c r="CM11" i="15"/>
  <c r="DC11" i="15"/>
  <c r="DK11" i="15"/>
  <c r="AY11" i="15"/>
  <c r="BO11" i="15"/>
  <c r="C27" i="6" s="1"/>
  <c r="R14" i="15"/>
  <c r="AQ11" i="15"/>
  <c r="C19" i="6" s="1"/>
  <c r="BW11" i="15"/>
  <c r="CU11" i="15"/>
  <c r="C35" i="6" s="1"/>
  <c r="N14" i="15"/>
  <c r="AA11" i="15"/>
  <c r="BG11" i="15"/>
  <c r="O14" i="15"/>
  <c r="P14" i="15"/>
  <c r="Q14" i="15"/>
  <c r="Y14" i="15"/>
  <c r="V14" i="15"/>
  <c r="AH13" i="15"/>
  <c r="Z14" i="15"/>
  <c r="X14" i="15"/>
  <c r="I12" i="15"/>
  <c r="H12" i="15"/>
  <c r="K11" i="15"/>
  <c r="F12" i="15"/>
  <c r="G12" i="15"/>
  <c r="J12" i="15"/>
  <c r="N13" i="15"/>
  <c r="Y12" i="15"/>
  <c r="Y13" i="15"/>
  <c r="P13" i="15"/>
  <c r="P12" i="15"/>
  <c r="Z12" i="15"/>
  <c r="Z13" i="15"/>
  <c r="X13" i="15"/>
  <c r="O13" i="15"/>
  <c r="O12" i="15"/>
  <c r="Q13" i="15"/>
  <c r="Q12" i="15"/>
  <c r="R13" i="15"/>
  <c r="R12" i="15"/>
  <c r="X12" i="15" l="1"/>
  <c r="AF7" i="15"/>
  <c r="W12" i="15"/>
  <c r="AE7" i="15"/>
  <c r="AO7" i="15"/>
  <c r="AG12" i="15"/>
  <c r="W14" i="15"/>
  <c r="W13" i="15"/>
  <c r="AD7" i="15"/>
  <c r="AP7" i="15"/>
  <c r="CX7" i="15"/>
  <c r="CX10" i="15" s="1"/>
  <c r="DC10" i="15" s="1"/>
  <c r="AH12" i="15"/>
  <c r="AG14" i="15"/>
  <c r="AG13" i="15"/>
  <c r="AH14" i="15"/>
  <c r="AE14" i="15"/>
  <c r="AF14" i="15"/>
  <c r="AD14" i="15"/>
  <c r="K12" i="15"/>
  <c r="N12" i="15"/>
  <c r="S10" i="15"/>
  <c r="V13" i="15"/>
  <c r="AE13" i="15"/>
  <c r="AF13" i="15"/>
  <c r="AO12" i="15" l="1"/>
  <c r="AW7" i="15"/>
  <c r="AM7" i="15"/>
  <c r="AE12" i="15"/>
  <c r="AO14" i="15"/>
  <c r="AL7" i="15"/>
  <c r="AO13" i="15"/>
  <c r="AN7" i="15"/>
  <c r="AF12" i="15"/>
  <c r="AX7" i="15"/>
  <c r="DF7" i="15"/>
  <c r="DF10" i="15" s="1"/>
  <c r="AW14" i="15"/>
  <c r="AP14" i="15"/>
  <c r="AL14" i="15"/>
  <c r="AP13" i="15"/>
  <c r="AP12" i="15"/>
  <c r="AN13" i="15"/>
  <c r="AX13" i="15"/>
  <c r="V12" i="15"/>
  <c r="AA10" i="15"/>
  <c r="AD13" i="15"/>
  <c r="S12" i="15"/>
  <c r="AM13" i="15"/>
  <c r="AW13" i="15"/>
  <c r="BF7" i="15" l="1"/>
  <c r="AX12" i="15"/>
  <c r="AX14" i="15"/>
  <c r="AN12" i="15"/>
  <c r="AV7" i="15"/>
  <c r="AN14" i="15"/>
  <c r="AM12" i="15"/>
  <c r="AU7" i="15"/>
  <c r="AM14" i="15"/>
  <c r="BE7" i="15"/>
  <c r="AW12" i="15"/>
  <c r="AT7" i="15"/>
  <c r="BE14" i="15"/>
  <c r="C10" i="6"/>
  <c r="C12" i="6" s="1"/>
  <c r="AA12" i="15"/>
  <c r="BF13" i="15"/>
  <c r="AD12" i="15"/>
  <c r="AU13" i="15"/>
  <c r="AL13" i="15"/>
  <c r="BD7" i="15" l="1"/>
  <c r="AV12" i="15"/>
  <c r="AV14" i="15"/>
  <c r="BE12" i="15"/>
  <c r="BM7" i="15"/>
  <c r="AV13" i="15"/>
  <c r="BE13" i="15"/>
  <c r="BC7" i="15"/>
  <c r="AU12" i="15"/>
  <c r="AU14" i="15"/>
  <c r="BB7" i="15"/>
  <c r="AT14" i="15"/>
  <c r="BF12" i="15"/>
  <c r="BN7" i="15"/>
  <c r="BF14" i="15"/>
  <c r="CP14" i="15"/>
  <c r="CH14" i="15"/>
  <c r="AI12" i="15"/>
  <c r="AL12" i="15"/>
  <c r="AQ10" i="15"/>
  <c r="AT13" i="15"/>
  <c r="BN13" i="15"/>
  <c r="BD13" i="15"/>
  <c r="BC13" i="15"/>
  <c r="BJ7" i="15" l="1"/>
  <c r="BB14" i="15"/>
  <c r="BU7" i="15"/>
  <c r="BM12" i="15"/>
  <c r="BM14" i="15"/>
  <c r="BV7" i="15"/>
  <c r="BN12" i="15"/>
  <c r="BN14" i="15"/>
  <c r="BC12" i="15"/>
  <c r="BK7" i="15"/>
  <c r="BC14" i="15"/>
  <c r="BM13" i="15"/>
  <c r="BD12" i="15"/>
  <c r="BL7" i="15"/>
  <c r="BD14" i="15"/>
  <c r="C18" i="6"/>
  <c r="C20" i="6" s="1"/>
  <c r="CX14" i="15"/>
  <c r="BV13" i="15"/>
  <c r="BB13" i="15"/>
  <c r="AQ12" i="15"/>
  <c r="BL13" i="15"/>
  <c r="AT12" i="15"/>
  <c r="BU13" i="15"/>
  <c r="BK12" i="15" l="1"/>
  <c r="BS7" i="15"/>
  <c r="BK14" i="15"/>
  <c r="BU12" i="15"/>
  <c r="CC7" i="15"/>
  <c r="BU14" i="15"/>
  <c r="BL12" i="15"/>
  <c r="BT7" i="15"/>
  <c r="BL14" i="15"/>
  <c r="BR7" i="15"/>
  <c r="BJ14" i="15"/>
  <c r="BK13" i="15"/>
  <c r="BV12" i="15"/>
  <c r="CD7" i="15"/>
  <c r="BV14" i="15"/>
  <c r="DF14" i="15"/>
  <c r="AY12" i="15"/>
  <c r="BB12" i="15"/>
  <c r="BG10" i="15"/>
  <c r="BT13" i="15"/>
  <c r="BS13" i="15"/>
  <c r="BJ13" i="15"/>
  <c r="CC13" i="15" l="1"/>
  <c r="CK7" i="15"/>
  <c r="CC14" i="15"/>
  <c r="CC12" i="15"/>
  <c r="BR14" i="15"/>
  <c r="CL7" i="15"/>
  <c r="CD14" i="15"/>
  <c r="CD12" i="15"/>
  <c r="CD13" i="15"/>
  <c r="BT12" i="15"/>
  <c r="CB7" i="15"/>
  <c r="BT14" i="15"/>
  <c r="BS12" i="15"/>
  <c r="CA7" i="15"/>
  <c r="BS14" i="15"/>
  <c r="BG12" i="15"/>
  <c r="BR13" i="15"/>
  <c r="BJ12" i="15"/>
  <c r="CB12" i="15" l="1"/>
  <c r="CB14" i="15"/>
  <c r="CJ7" i="15"/>
  <c r="CB13" i="15"/>
  <c r="CI7" i="15"/>
  <c r="CA13" i="15"/>
  <c r="CA14" i="15"/>
  <c r="CS7" i="15"/>
  <c r="CK12" i="15"/>
  <c r="CK14" i="15"/>
  <c r="CK13" i="15"/>
  <c r="CT7" i="15"/>
  <c r="CL12" i="15"/>
  <c r="CL14" i="15"/>
  <c r="CL13" i="15"/>
  <c r="C26" i="6"/>
  <c r="C28" i="6" s="1"/>
  <c r="CH13" i="15"/>
  <c r="BR12" i="15"/>
  <c r="BW10" i="15"/>
  <c r="BO12" i="15"/>
  <c r="CQ7" i="15" l="1"/>
  <c r="CI12" i="15"/>
  <c r="CI14" i="15"/>
  <c r="CI13" i="15"/>
  <c r="CS12" i="15"/>
  <c r="DA7" i="15"/>
  <c r="CS14" i="15"/>
  <c r="CS13" i="15"/>
  <c r="CR7" i="15"/>
  <c r="CJ12" i="15"/>
  <c r="CJ14" i="15"/>
  <c r="CJ13" i="15"/>
  <c r="CA12" i="15"/>
  <c r="CE10" i="15"/>
  <c r="CE12" i="15" s="1"/>
  <c r="CT12" i="15"/>
  <c r="DB7" i="15"/>
  <c r="CT14" i="15"/>
  <c r="CT13" i="15"/>
  <c r="BW12" i="15"/>
  <c r="CP13" i="15"/>
  <c r="CH12" i="15"/>
  <c r="DI7" i="15" l="1"/>
  <c r="DA12" i="15"/>
  <c r="DA14" i="15"/>
  <c r="DA13" i="15"/>
  <c r="DB12" i="15"/>
  <c r="DJ7" i="15"/>
  <c r="DB14" i="15"/>
  <c r="DB13" i="15"/>
  <c r="CR12" i="15"/>
  <c r="CZ7" i="15"/>
  <c r="CR14" i="15"/>
  <c r="CR13" i="15"/>
  <c r="CQ12" i="15"/>
  <c r="CY7" i="15"/>
  <c r="CQ14" i="15"/>
  <c r="CQ13" i="15"/>
  <c r="CM12" i="15"/>
  <c r="CX13" i="15"/>
  <c r="CP12" i="15"/>
  <c r="CU10" i="15"/>
  <c r="DJ12" i="15" l="1"/>
  <c r="DJ14" i="15"/>
  <c r="DJ13" i="15"/>
  <c r="DH7" i="15"/>
  <c r="CZ12" i="15"/>
  <c r="CZ14" i="15"/>
  <c r="CZ13" i="15"/>
  <c r="DG7" i="15"/>
  <c r="CY12" i="15"/>
  <c r="CY14" i="15"/>
  <c r="CY13" i="15"/>
  <c r="DI12" i="15"/>
  <c r="DI14" i="15"/>
  <c r="DI13" i="15"/>
  <c r="CU12" i="15"/>
  <c r="CX12" i="15"/>
  <c r="DF13" i="15"/>
  <c r="DH12" i="15" l="1"/>
  <c r="DH14" i="15"/>
  <c r="DH13" i="15"/>
  <c r="DG12" i="15"/>
  <c r="DG14" i="15"/>
  <c r="DG13" i="15"/>
  <c r="C34" i="6"/>
  <c r="C36" i="6" s="1"/>
  <c r="DC12" i="15"/>
  <c r="DF12" i="15"/>
  <c r="DK10" i="15" l="1"/>
  <c r="D10" i="15" s="1"/>
  <c r="DK12" i="15"/>
  <c r="D12" i="15" l="1"/>
</calcChain>
</file>

<file path=xl/sharedStrings.xml><?xml version="1.0" encoding="utf-8"?>
<sst xmlns="http://schemas.openxmlformats.org/spreadsheetml/2006/main" count="211" uniqueCount="71">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</sst>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189">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0" fontId="10" fillId="0" borderId="1" xfId="0" applyFont="1" applyBorder="1" applyProtection="1">
      <protection locked="0"/>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161925</xdr:colOff>
          <xdr:row>3</xdr:row>
          <xdr:rowOff>142875</xdr:rowOff>
        </xdr:from>
        <xdr:to>
          <xdr:col>7</xdr:col>
          <xdr:colOff>142875</xdr:colOff>
          <xdr:row>5</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75"/>
  <cols>
    <col min="1" max="1" width="14.85546875" style="64" customWidth="1"/>
    <col min="2" max="2" width="11.42578125" style="64"/>
    <col min="3" max="3" width="12.7109375" style="64" bestFit="1" customWidth="1"/>
    <col min="4" max="4" width="11.42578125" style="64"/>
    <col min="5" max="5" width="8.5703125" customWidth="1"/>
    <col min="6" max="6" width="15.85546875" customWidth="1"/>
    <col min="9" max="9" width="24.5703125" customWidth="1"/>
    <col min="10" max="10" width="16.42578125" customWidth="1"/>
    <col min="11" max="11" width="54.7109375" customWidth="1"/>
    <col min="12" max="12" width="4.85546875" customWidth="1"/>
    <col min="14" max="14" width="51.85546875" customWidth="1"/>
  </cols>
  <sheetData>
    <row r="1" spans="1:14">
      <c r="A1"/>
      <c r="B1"/>
      <c r="C1"/>
      <c r="D1"/>
    </row>
    <row r="2" spans="1:14">
      <c r="A2" t="s">
        <v>34</v>
      </c>
      <c r="B2" s="178"/>
      <c r="C2" s="3"/>
      <c r="D2"/>
    </row>
    <row r="3" spans="1:14">
      <c r="A3" t="s">
        <v>36</v>
      </c>
      <c r="B3" s="179"/>
      <c r="C3"/>
      <c r="D3"/>
    </row>
    <row r="4" spans="1:14">
      <c r="A4" s="3" t="s">
        <v>55</v>
      </c>
      <c r="B4" s="178"/>
      <c r="C4"/>
      <c r="D4"/>
    </row>
    <row r="5" spans="1:14">
      <c r="A5"/>
      <c r="B5"/>
      <c r="C5"/>
      <c r="D5"/>
    </row>
    <row r="6" spans="1:14">
      <c r="A6" s="138" t="s">
        <v>38</v>
      </c>
      <c r="B6" s="138" t="s">
        <v>39</v>
      </c>
      <c r="C6" s="138" t="s">
        <v>37</v>
      </c>
      <c r="D6" s="138" t="s">
        <v>35</v>
      </c>
    </row>
    <row r="7" spans="1:14">
      <c r="A7" s="172"/>
      <c r="B7" s="173"/>
      <c r="C7" s="173"/>
      <c r="D7" s="173"/>
      <c r="N7" s="170"/>
    </row>
    <row r="8" spans="1:14">
      <c r="A8" s="172"/>
      <c r="B8" s="173"/>
      <c r="C8" s="173"/>
      <c r="D8" s="180"/>
      <c r="N8" s="170"/>
    </row>
    <row r="9" spans="1:14">
      <c r="A9" s="172"/>
      <c r="B9" s="173"/>
      <c r="C9" s="173"/>
      <c r="D9" s="173"/>
      <c r="N9" s="170"/>
    </row>
    <row r="10" spans="1:14">
      <c r="A10" s="173"/>
      <c r="B10" s="173"/>
      <c r="C10" s="173"/>
      <c r="D10" s="173"/>
      <c r="K10" s="170"/>
      <c r="N10" s="170"/>
    </row>
    <row r="11" spans="1:14">
      <c r="A11" s="173"/>
      <c r="B11" s="173"/>
      <c r="C11" s="173"/>
      <c r="D11" s="173"/>
      <c r="N11" s="170"/>
    </row>
    <row r="12" spans="1:14">
      <c r="A12" s="173"/>
      <c r="B12" s="173"/>
      <c r="C12" s="173"/>
      <c r="D12" s="173"/>
      <c r="N12" s="170"/>
    </row>
    <row r="13" spans="1:14">
      <c r="A13" s="173"/>
      <c r="B13" s="173"/>
      <c r="C13" s="173"/>
      <c r="D13" s="173"/>
      <c r="N13" s="170"/>
    </row>
    <row r="14" spans="1:14">
      <c r="A14" s="173"/>
      <c r="B14" s="173"/>
      <c r="C14" s="173"/>
      <c r="D14" s="173"/>
      <c r="N14" s="170"/>
    </row>
    <row r="15" spans="1:14">
      <c r="A15" s="173"/>
      <c r="B15" s="173"/>
      <c r="C15" s="173"/>
      <c r="D15" s="173"/>
      <c r="N15" s="170"/>
    </row>
    <row r="16" spans="1:14">
      <c r="A16" s="173"/>
      <c r="B16" s="173"/>
      <c r="C16" s="173"/>
      <c r="D16" s="173"/>
      <c r="N16" s="170"/>
    </row>
    <row r="17" spans="9:14">
      <c r="N17" s="170"/>
    </row>
    <row r="18" spans="9:14" ht="15.75">
      <c r="I18" s="171" t="s">
        <v>56</v>
      </c>
      <c r="J18" s="171" t="s">
        <v>57</v>
      </c>
      <c r="K18" s="171" t="s">
        <v>54</v>
      </c>
      <c r="M18" s="171" t="s">
        <v>53</v>
      </c>
    </row>
    <row r="19" spans="9:14" ht="51">
      <c r="I19" s="174" t="s">
        <v>58</v>
      </c>
      <c r="J19" s="175" t="s">
        <v>65</v>
      </c>
      <c r="K19" s="176" t="s">
        <v>66</v>
      </c>
      <c r="M19" s="177">
        <v>45377</v>
      </c>
      <c r="N19" s="176" t="s">
        <v>69</v>
      </c>
    </row>
    <row r="20" spans="9:14" ht="51">
      <c r="I20" s="174" t="s">
        <v>59</v>
      </c>
      <c r="J20" s="175" t="s">
        <v>62</v>
      </c>
      <c r="K20" s="176" t="s">
        <v>70</v>
      </c>
      <c r="N20" s="170"/>
    </row>
    <row r="21" spans="9:14" ht="51">
      <c r="I21" s="174" t="s">
        <v>60</v>
      </c>
      <c r="J21" s="175" t="s">
        <v>63</v>
      </c>
      <c r="K21" s="176" t="s">
        <v>67</v>
      </c>
      <c r="N21" s="170"/>
    </row>
    <row r="22" spans="9:14" ht="25.5">
      <c r="I22" s="174" t="s">
        <v>61</v>
      </c>
      <c r="J22" s="175" t="s">
        <v>64</v>
      </c>
      <c r="K22" s="176" t="s">
        <v>68</v>
      </c>
      <c r="N22" s="170"/>
    </row>
    <row r="23" spans="9:14">
      <c r="N23" s="170"/>
    </row>
    <row r="24" spans="9:14">
      <c r="N24" s="170"/>
    </row>
  </sheetData>
  <sheetProtection algorithmName="SHA-512" hashValue="DBvfjMcYeRrObwab3AZRfkpmhIMHYGXQ0Rk8+DGFKVkFL6uIsro8eqEfP9eSzd1H4sHuQID/ixVkg8iK28m/Xw==" saltValue="QOK/xJL5OtXyBOf2psjJpQ==" spinCount="100000" sheet="1" objects="1" scenarios="1" formatCells="0" formatColumns="0" formatRows="0" insertRows="0" insertHyperlinks="0" selectLockedCells="1"/>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161925</xdr:colOff>
                    <xdr:row>3</xdr:row>
                    <xdr:rowOff>142875</xdr:rowOff>
                  </from>
                  <to>
                    <xdr:col>7</xdr:col>
                    <xdr:colOff>142875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K36"/>
  <sheetViews>
    <sheetView workbookViewId="0"/>
  </sheetViews>
  <sheetFormatPr baseColWidth="10" defaultRowHeight="12.75"/>
  <cols>
    <col min="1" max="1" width="21.85546875" customWidth="1"/>
    <col min="2" max="2" width="14.42578125" customWidth="1"/>
    <col min="3" max="3" width="21.85546875" customWidth="1"/>
    <col min="5" max="5" width="19.85546875" bestFit="1" customWidth="1"/>
    <col min="6" max="6" width="17.28515625" customWidth="1"/>
    <col min="7" max="7" width="21.85546875" customWidth="1"/>
    <col min="9" max="9" width="19.85546875" bestFit="1" customWidth="1"/>
    <col min="10" max="10" width="18.140625" customWidth="1"/>
  </cols>
  <sheetData>
    <row r="2" spans="1:11">
      <c r="A2" s="19" t="s">
        <v>32</v>
      </c>
      <c r="C2" s="19"/>
      <c r="G2" s="19"/>
    </row>
    <row r="4" spans="1:11">
      <c r="A4" s="64"/>
      <c r="C4" s="64"/>
      <c r="G4" s="64"/>
    </row>
    <row r="6" spans="1:11">
      <c r="A6" s="20" t="str">
        <f>"Januar " &amp; $A$4</f>
        <v xml:space="preserve">Januar </v>
      </c>
      <c r="B6" s="20"/>
      <c r="C6" s="20"/>
      <c r="E6" s="20" t="s">
        <v>48</v>
      </c>
      <c r="F6" s="20"/>
      <c r="G6" s="20"/>
      <c r="I6" s="20" t="s">
        <v>49</v>
      </c>
      <c r="J6" s="20"/>
      <c r="K6" s="20"/>
    </row>
    <row r="7" spans="1:11" ht="9" customHeight="1"/>
    <row r="8" spans="1:11" hidden="1"/>
    <row r="9" spans="1:11">
      <c r="A9" s="1"/>
      <c r="B9" s="1"/>
      <c r="C9" s="1" t="s">
        <v>7</v>
      </c>
      <c r="E9" s="1"/>
      <c r="F9" s="1"/>
      <c r="G9" s="1" t="s">
        <v>7</v>
      </c>
      <c r="I9" s="1"/>
      <c r="J9" s="1"/>
      <c r="K9" s="1" t="s">
        <v>7</v>
      </c>
    </row>
    <row r="10" spans="1:11">
      <c r="A10" s="1" t="s">
        <v>11</v>
      </c>
      <c r="B10" s="2">
        <f>Vorlage_Gruppen!$S$10</f>
        <v>0</v>
      </c>
      <c r="C10" s="2">
        <f>SUM(B10:B10)</f>
        <v>0</v>
      </c>
      <c r="E10" s="1" t="s">
        <v>11</v>
      </c>
      <c r="F10" s="2">
        <f>Vorlage_Gruppen!$AA$10</f>
        <v>0</v>
      </c>
      <c r="G10" s="2">
        <f>SUM(F10:F10)</f>
        <v>0</v>
      </c>
      <c r="I10" s="1" t="s">
        <v>11</v>
      </c>
      <c r="J10" s="2">
        <f>Vorlage_Gruppen!$AH$10</f>
        <v>0</v>
      </c>
      <c r="K10" s="2">
        <f>SUM(J10:J10)</f>
        <v>0</v>
      </c>
    </row>
    <row r="11" spans="1:11">
      <c r="A11" s="1" t="s">
        <v>10</v>
      </c>
      <c r="B11" s="2">
        <f>Vorlage_Gruppen!$S$11</f>
        <v>0</v>
      </c>
      <c r="C11" s="2">
        <f>SUM(B11:B11)</f>
        <v>0</v>
      </c>
      <c r="E11" s="1" t="s">
        <v>10</v>
      </c>
      <c r="F11" s="2">
        <f>Vorlage_Gruppen!$AA$11</f>
        <v>0</v>
      </c>
      <c r="G11" s="2">
        <f>SUM(F11:F11)</f>
        <v>0</v>
      </c>
      <c r="I11" s="1" t="s">
        <v>10</v>
      </c>
      <c r="J11" s="2">
        <f>Vorlage_Gruppen!$AH$11</f>
        <v>0</v>
      </c>
      <c r="K11" s="2">
        <f>SUM(J11:J11)</f>
        <v>0</v>
      </c>
    </row>
    <row r="12" spans="1:11">
      <c r="A12" s="1" t="s">
        <v>12</v>
      </c>
      <c r="B12" s="2" t="e">
        <f>Vorlage_Gruppen!$S$12</f>
        <v>#DIV/0!</v>
      </c>
      <c r="C12" s="25" t="e">
        <f>(C10*100)/C11</f>
        <v>#DIV/0!</v>
      </c>
      <c r="E12" s="1" t="s">
        <v>12</v>
      </c>
      <c r="F12" s="2" t="e">
        <f>Vorlage_Gruppen!$AA$12</f>
        <v>#DIV/0!</v>
      </c>
      <c r="G12" s="25" t="e">
        <f>(G10*100)/G11</f>
        <v>#DIV/0!</v>
      </c>
      <c r="I12" s="1" t="s">
        <v>12</v>
      </c>
      <c r="J12" s="2" t="e">
        <f>Vorlage_Gruppen!$AH$12</f>
        <v>#DIV/0!</v>
      </c>
      <c r="K12" s="25" t="e">
        <f>(K10*100)/K11</f>
        <v>#DIV/0!</v>
      </c>
    </row>
    <row r="15" spans="1:11">
      <c r="A15" s="20" t="str">
        <f>"April " &amp; $A$4</f>
        <v xml:space="preserve">April </v>
      </c>
      <c r="B15" s="21"/>
      <c r="C15" s="21"/>
      <c r="E15" s="20" t="s">
        <v>25</v>
      </c>
      <c r="F15" s="21"/>
      <c r="G15" s="21"/>
      <c r="I15" s="20" t="s">
        <v>26</v>
      </c>
      <c r="J15" s="21"/>
      <c r="K15" s="21"/>
    </row>
    <row r="17" spans="1:11">
      <c r="A17" s="1"/>
      <c r="B17" s="1"/>
      <c r="C17" s="1" t="s">
        <v>7</v>
      </c>
      <c r="E17" s="1"/>
      <c r="F17" s="1"/>
      <c r="G17" s="1" t="s">
        <v>7</v>
      </c>
      <c r="I17" s="1"/>
      <c r="J17" s="1"/>
      <c r="K17" s="1" t="s">
        <v>7</v>
      </c>
    </row>
    <row r="18" spans="1:11">
      <c r="A18" s="1" t="s">
        <v>11</v>
      </c>
      <c r="B18" s="2">
        <f>Vorlage_Gruppen!$AQ$10</f>
        <v>0</v>
      </c>
      <c r="C18" s="2">
        <f>SUM(B18:B18)</f>
        <v>0</v>
      </c>
      <c r="E18" s="1" t="s">
        <v>11</v>
      </c>
      <c r="F18" s="2">
        <f>Vorlage_Gruppen!$AY$10</f>
        <v>0</v>
      </c>
      <c r="G18" s="2">
        <f>SUM(F18:F18)</f>
        <v>0</v>
      </c>
      <c r="I18" s="1" t="s">
        <v>11</v>
      </c>
      <c r="J18" s="2">
        <f>Vorlage_Gruppen!$BG$10</f>
        <v>0</v>
      </c>
      <c r="K18" s="2">
        <f>SUM(J18:J18)</f>
        <v>0</v>
      </c>
    </row>
    <row r="19" spans="1:11">
      <c r="A19" s="1" t="s">
        <v>10</v>
      </c>
      <c r="B19" s="2">
        <f>Vorlage_Gruppen!$AQ$11</f>
        <v>0</v>
      </c>
      <c r="C19" s="2">
        <f>SUM(B19:B19)</f>
        <v>0</v>
      </c>
      <c r="E19" s="1" t="s">
        <v>10</v>
      </c>
      <c r="F19" s="2">
        <f>Vorlage_Gruppen!$AY$11</f>
        <v>0</v>
      </c>
      <c r="G19" s="2">
        <f>SUM(F19:F19)</f>
        <v>0</v>
      </c>
      <c r="I19" s="1" t="s">
        <v>10</v>
      </c>
      <c r="J19" s="2">
        <f>Vorlage_Gruppen!$BG$11</f>
        <v>0</v>
      </c>
      <c r="K19" s="2">
        <f>SUM(J19:J19)</f>
        <v>0</v>
      </c>
    </row>
    <row r="20" spans="1:11">
      <c r="A20" s="1" t="s">
        <v>12</v>
      </c>
      <c r="B20" s="2" t="e">
        <f>Vorlage_Gruppen!$AQ$12</f>
        <v>#DIV/0!</v>
      </c>
      <c r="C20" s="25" t="e">
        <f>(C18*100)/C19</f>
        <v>#DIV/0!</v>
      </c>
      <c r="E20" s="1" t="s">
        <v>12</v>
      </c>
      <c r="F20" s="2" t="e">
        <f>Vorlage_Gruppen!$AY$12</f>
        <v>#DIV/0!</v>
      </c>
      <c r="G20" s="25" t="e">
        <f>(G18*100)/G19</f>
        <v>#DIV/0!</v>
      </c>
      <c r="I20" s="1" t="s">
        <v>12</v>
      </c>
      <c r="J20" s="2" t="e">
        <f>Vorlage_Gruppen!$BG$12</f>
        <v>#DIV/0!</v>
      </c>
      <c r="K20" s="25" t="e">
        <f>(K18*100)/K19</f>
        <v>#DIV/0!</v>
      </c>
    </row>
    <row r="23" spans="1:11">
      <c r="A23" s="20" t="str">
        <f>"Juli " &amp; $A$4</f>
        <v xml:space="preserve">Juli </v>
      </c>
      <c r="B23" s="21"/>
      <c r="C23" s="21"/>
      <c r="E23" s="20" t="s">
        <v>28</v>
      </c>
      <c r="F23" s="21"/>
      <c r="G23" s="21"/>
      <c r="I23" s="20" t="s">
        <v>50</v>
      </c>
      <c r="J23" s="21"/>
      <c r="K23" s="21"/>
    </row>
    <row r="25" spans="1:11">
      <c r="A25" s="1"/>
      <c r="B25" s="1"/>
      <c r="C25" s="1" t="s">
        <v>7</v>
      </c>
      <c r="E25" s="1"/>
      <c r="F25" s="1"/>
      <c r="G25" s="1" t="s">
        <v>7</v>
      </c>
      <c r="I25" s="1"/>
      <c r="J25" s="1"/>
      <c r="K25" s="1" t="s">
        <v>7</v>
      </c>
    </row>
    <row r="26" spans="1:11">
      <c r="A26" s="1" t="s">
        <v>11</v>
      </c>
      <c r="B26" s="2">
        <f>Vorlage_Gruppen!$BO$10</f>
        <v>0</v>
      </c>
      <c r="C26" s="2">
        <f>SUM(B26:B26)</f>
        <v>0</v>
      </c>
      <c r="E26" s="1" t="s">
        <v>11</v>
      </c>
      <c r="F26" s="2">
        <f>Vorlage_Gruppen!$CE$10</f>
        <v>0</v>
      </c>
      <c r="G26" s="2">
        <f>SUM(F26:F26)</f>
        <v>0</v>
      </c>
      <c r="I26" s="1" t="s">
        <v>11</v>
      </c>
      <c r="J26" s="2">
        <f>Vorlage_Gruppen!$CM$10</f>
        <v>0</v>
      </c>
      <c r="K26" s="2">
        <f>SUM(J26:J26)</f>
        <v>0</v>
      </c>
    </row>
    <row r="27" spans="1:11">
      <c r="A27" s="1" t="s">
        <v>10</v>
      </c>
      <c r="B27" s="2">
        <f>Vorlage_Gruppen!$BO$11</f>
        <v>0</v>
      </c>
      <c r="C27" s="2">
        <f>SUM(B27:B27)</f>
        <v>0</v>
      </c>
      <c r="E27" s="1" t="s">
        <v>10</v>
      </c>
      <c r="F27" s="2">
        <f>Vorlage_Gruppen!$CE$11</f>
        <v>0</v>
      </c>
      <c r="G27" s="2">
        <f>SUM(F27:F27)</f>
        <v>0</v>
      </c>
      <c r="I27" s="1" t="s">
        <v>10</v>
      </c>
      <c r="J27" s="2">
        <f>Vorlage_Gruppen!$CM$11</f>
        <v>0</v>
      </c>
      <c r="K27" s="2">
        <f>SUM(J27:J27)</f>
        <v>0</v>
      </c>
    </row>
    <row r="28" spans="1:11">
      <c r="A28" s="1" t="s">
        <v>12</v>
      </c>
      <c r="B28" s="2" t="e">
        <f>Vorlage_Gruppen!$BO$12</f>
        <v>#DIV/0!</v>
      </c>
      <c r="C28" s="25" t="e">
        <f>(C26*100)/C27</f>
        <v>#DIV/0!</v>
      </c>
      <c r="E28" s="1" t="s">
        <v>12</v>
      </c>
      <c r="F28" s="2" t="e">
        <f>Vorlage_Gruppen!$CE$12</f>
        <v>#DIV/0!</v>
      </c>
      <c r="G28" s="25" t="e">
        <f>(G26*100)/G27</f>
        <v>#DIV/0!</v>
      </c>
      <c r="I28" s="1" t="s">
        <v>12</v>
      </c>
      <c r="J28" s="2" t="e">
        <f>Vorlage_Gruppen!$CM$12</f>
        <v>#DIV/0!</v>
      </c>
      <c r="K28" s="25" t="e">
        <f>(K26*100)/K27</f>
        <v>#DIV/0!</v>
      </c>
    </row>
    <row r="31" spans="1:11">
      <c r="A31" s="20" t="str">
        <f>"Oktober " &amp; $A$4</f>
        <v xml:space="preserve">Oktober </v>
      </c>
      <c r="B31" s="21"/>
      <c r="C31" s="21"/>
      <c r="E31" s="20" t="s">
        <v>52</v>
      </c>
      <c r="F31" s="21"/>
      <c r="G31" s="21"/>
      <c r="I31" s="20" t="s">
        <v>51</v>
      </c>
      <c r="J31" s="21"/>
      <c r="K31" s="21"/>
    </row>
    <row r="33" spans="1:11">
      <c r="A33" s="1"/>
      <c r="B33" s="1"/>
      <c r="C33" s="1" t="s">
        <v>7</v>
      </c>
      <c r="E33" s="1"/>
      <c r="F33" s="1"/>
      <c r="G33" s="1" t="s">
        <v>7</v>
      </c>
      <c r="I33" s="1"/>
      <c r="J33" s="1"/>
      <c r="K33" s="1" t="s">
        <v>7</v>
      </c>
    </row>
    <row r="34" spans="1:11">
      <c r="A34" s="1" t="s">
        <v>11</v>
      </c>
      <c r="B34" s="2">
        <f>Vorlage_Gruppen!$CU$10</f>
        <v>0</v>
      </c>
      <c r="C34" s="2">
        <f>SUM(B34:B34)</f>
        <v>0</v>
      </c>
      <c r="E34" s="1" t="s">
        <v>11</v>
      </c>
      <c r="F34" s="2">
        <f>Vorlage_Gruppen!$DC$10</f>
        <v>0</v>
      </c>
      <c r="G34" s="2">
        <f>SUM(F34:F34)</f>
        <v>0</v>
      </c>
      <c r="I34" s="1" t="s">
        <v>11</v>
      </c>
      <c r="J34" s="2">
        <f>Vorlage_Gruppen!$DK$10</f>
        <v>0</v>
      </c>
      <c r="K34" s="2">
        <f>SUM(J34:J34)</f>
        <v>0</v>
      </c>
    </row>
    <row r="35" spans="1:11">
      <c r="A35" s="1" t="s">
        <v>10</v>
      </c>
      <c r="B35" s="2">
        <f>Vorlage_Gruppen!$CU$11</f>
        <v>0</v>
      </c>
      <c r="C35" s="2">
        <f>SUM(B35:B35)</f>
        <v>0</v>
      </c>
      <c r="E35" s="1" t="s">
        <v>10</v>
      </c>
      <c r="F35" s="2">
        <f>Vorlage_Gruppen!$DC$11</f>
        <v>0</v>
      </c>
      <c r="G35" s="2">
        <f>SUM(F35:F35)</f>
        <v>0</v>
      </c>
      <c r="I35" s="1" t="s">
        <v>10</v>
      </c>
      <c r="J35" s="2">
        <f>Vorlage_Gruppen!$DK$11</f>
        <v>0</v>
      </c>
      <c r="K35" s="2">
        <f>SUM(J35:J35)</f>
        <v>0</v>
      </c>
    </row>
    <row r="36" spans="1:11">
      <c r="A36" s="1" t="s">
        <v>12</v>
      </c>
      <c r="B36" s="2" t="e">
        <f>Vorlage_Gruppen!$CU$12</f>
        <v>#DIV/0!</v>
      </c>
      <c r="C36" s="25" t="e">
        <f>(C34*100)/C35</f>
        <v>#DIV/0!</v>
      </c>
      <c r="E36" s="1" t="s">
        <v>12</v>
      </c>
      <c r="F36" s="2" t="e">
        <f>Vorlage_Gruppen!$DC$12</f>
        <v>#DIV/0!</v>
      </c>
      <c r="G36" s="25" t="e">
        <f>(G34*100)/G35</f>
        <v>#DIV/0!</v>
      </c>
      <c r="I36" s="1" t="s">
        <v>12</v>
      </c>
      <c r="J36" s="2" t="e">
        <f>Vorlage_Gruppen!$DK$12</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5"/>
  <sheetViews>
    <sheetView workbookViewId="0"/>
  </sheetViews>
  <sheetFormatPr baseColWidth="10" defaultColWidth="10.85546875" defaultRowHeight="12.75"/>
  <cols>
    <col min="1" max="1" width="24.28515625" style="64" customWidth="1"/>
    <col min="2" max="2" width="7" style="64" customWidth="1"/>
    <col min="3" max="3" width="8.42578125" style="64" customWidth="1"/>
    <col min="4" max="4" width="6.28515625" style="64" customWidth="1"/>
    <col min="5" max="5" width="3.5703125" style="64" customWidth="1"/>
    <col min="6" max="11" width="5.42578125" style="64" customWidth="1"/>
    <col min="12" max="12" width="16" style="64" customWidth="1"/>
    <col min="13" max="13" width="5.42578125" style="64" customWidth="1" collapsed="1"/>
    <col min="14" max="19" width="5.42578125" style="64" customWidth="1"/>
    <col min="20" max="20" width="16" style="64" customWidth="1"/>
    <col min="21" max="21" width="5.42578125" style="64" customWidth="1"/>
    <col min="22" max="27" width="5.140625" style="64" customWidth="1"/>
    <col min="28" max="28" width="16" style="64" customWidth="1"/>
    <col min="29" max="29" width="5.42578125" style="64" customWidth="1"/>
    <col min="30" max="35" width="5.140625" style="64" customWidth="1"/>
    <col min="36" max="36" width="16" style="64" customWidth="1"/>
    <col min="37" max="37" width="5.42578125" style="64" customWidth="1"/>
    <col min="38" max="43" width="5.140625" style="64" customWidth="1"/>
    <col min="44" max="44" width="16" style="64" customWidth="1"/>
    <col min="45" max="45" width="5.42578125" style="64" customWidth="1"/>
    <col min="46" max="51" width="5.140625" style="64" customWidth="1"/>
    <col min="52" max="52" width="16" style="64" customWidth="1"/>
    <col min="53" max="53" width="5.42578125" style="64" customWidth="1"/>
    <col min="54" max="59" width="5.140625" style="64" customWidth="1"/>
    <col min="60" max="60" width="16" style="64" customWidth="1"/>
    <col min="61" max="61" width="5.42578125" style="64" customWidth="1"/>
    <col min="62" max="67" width="5.140625" style="64" customWidth="1"/>
    <col min="68" max="68" width="16" style="64" customWidth="1"/>
    <col min="69" max="69" width="5.42578125" style="64" customWidth="1"/>
    <col min="70" max="75" width="5.140625" style="64" customWidth="1"/>
    <col min="76" max="76" width="16" style="64" customWidth="1"/>
    <col min="77" max="77" width="5.42578125" style="64" customWidth="1"/>
    <col min="78" max="83" width="5.140625" style="64" customWidth="1"/>
    <col min="84" max="84" width="16" style="64" customWidth="1"/>
    <col min="85" max="85" width="5.42578125" style="64" customWidth="1"/>
    <col min="86" max="91" width="5.140625" style="64" customWidth="1"/>
    <col min="92" max="92" width="16" style="64" customWidth="1"/>
    <col min="93" max="93" width="5.42578125" style="64" customWidth="1"/>
    <col min="94" max="99" width="5.140625" style="64" customWidth="1"/>
    <col min="100" max="100" width="16" style="64" customWidth="1"/>
    <col min="101" max="107" width="5.42578125" style="64" customWidth="1"/>
    <col min="108" max="108" width="16" style="64" customWidth="1"/>
    <col min="109" max="115" width="5.42578125" style="64" customWidth="1"/>
    <col min="116" max="116" width="16" style="64" customWidth="1"/>
    <col min="117" max="117" width="5.42578125" style="64" customWidth="1"/>
    <col min="118" max="16384" width="10.85546875" style="64"/>
  </cols>
  <sheetData>
    <row r="1" spans="1:117" ht="18">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5" thickBot="1">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t="str">
        <f>IF(J2&lt;&gt;"","August " &amp;J2,"")</f>
        <v/>
      </c>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c r="A4" s="68"/>
      <c r="B4" s="69"/>
      <c r="C4" s="69"/>
      <c r="D4" s="70"/>
      <c r="E4" s="65"/>
      <c r="F4" s="184" t="str">
        <f>IF(A3&lt;&gt;"","Dezember " &amp;A3- 1,"")</f>
        <v>Dezember -1</v>
      </c>
      <c r="G4" s="185"/>
      <c r="H4" s="185"/>
      <c r="I4" s="185"/>
      <c r="J4" s="185"/>
      <c r="K4" s="185"/>
      <c r="L4" s="186"/>
      <c r="M4" s="3"/>
      <c r="N4" s="181" t="str">
        <f>IF(A3&lt;&gt;"","Januar " &amp;A3,"")</f>
        <v>Januar 0</v>
      </c>
      <c r="O4" s="182"/>
      <c r="P4" s="182"/>
      <c r="Q4" s="182"/>
      <c r="R4" s="182"/>
      <c r="S4" s="182"/>
      <c r="T4" s="183"/>
      <c r="U4" s="3"/>
      <c r="V4" s="184" t="str">
        <f>IF(A3&lt;&gt;"","Februar " &amp;A3,"")</f>
        <v>Februar 0</v>
      </c>
      <c r="W4" s="185"/>
      <c r="X4" s="185"/>
      <c r="Y4" s="185"/>
      <c r="Z4" s="185"/>
      <c r="AA4" s="185"/>
      <c r="AB4" s="186"/>
      <c r="AC4" s="3"/>
      <c r="AD4" s="181" t="str">
        <f>IF(A3&lt;&gt;"","März " &amp;A3,"")</f>
        <v>März 0</v>
      </c>
      <c r="AE4" s="182"/>
      <c r="AF4" s="182"/>
      <c r="AG4" s="182"/>
      <c r="AH4" s="182"/>
      <c r="AI4" s="182"/>
      <c r="AJ4" s="183"/>
      <c r="AK4" s="19"/>
      <c r="AL4" s="184" t="str">
        <f>IF(A3&lt;&gt;"","April " &amp;A3,"")</f>
        <v>April 0</v>
      </c>
      <c r="AM4" s="185"/>
      <c r="AN4" s="185"/>
      <c r="AO4" s="185"/>
      <c r="AP4" s="185"/>
      <c r="AQ4" s="185"/>
      <c r="AR4" s="186"/>
      <c r="AS4" s="19"/>
      <c r="AT4" s="181" t="str">
        <f>IF(A3&lt;&gt;"","Mai " &amp;A3,"")</f>
        <v>Mai 0</v>
      </c>
      <c r="AU4" s="182"/>
      <c r="AV4" s="182"/>
      <c r="AW4" s="182"/>
      <c r="AX4" s="182"/>
      <c r="AY4" s="182"/>
      <c r="AZ4" s="183"/>
      <c r="BA4" s="19"/>
      <c r="BB4" s="184" t="str">
        <f>IF(A3&lt;&gt;"","Juni " &amp;A3,"")</f>
        <v>Juni 0</v>
      </c>
      <c r="BC4" s="185"/>
      <c r="BD4" s="185"/>
      <c r="BE4" s="185"/>
      <c r="BF4" s="185"/>
      <c r="BG4" s="185"/>
      <c r="BH4" s="186"/>
      <c r="BI4" s="19"/>
      <c r="BJ4" s="181" t="str">
        <f>IF(A3&lt;&gt;"","Juli " &amp;A3,"")</f>
        <v>Juli 0</v>
      </c>
      <c r="BK4" s="182"/>
      <c r="BL4" s="182"/>
      <c r="BM4" s="182"/>
      <c r="BN4" s="182"/>
      <c r="BO4" s="182"/>
      <c r="BP4" s="183"/>
      <c r="BQ4" s="19"/>
      <c r="BR4" s="184" t="str">
        <f>IF(A3&lt;&gt;"","August 1 " &amp;A3,"")</f>
        <v>August 1 0</v>
      </c>
      <c r="BS4" s="185"/>
      <c r="BT4" s="185"/>
      <c r="BU4" s="185"/>
      <c r="BV4" s="185"/>
      <c r="BW4" s="185"/>
      <c r="BX4" s="186"/>
      <c r="BY4" s="19"/>
      <c r="BZ4" s="184" t="str">
        <f>IF(A3&lt;&gt;"","August 2 " &amp;A3,"")</f>
        <v>August 2 0</v>
      </c>
      <c r="CA4" s="185"/>
      <c r="CB4" s="185"/>
      <c r="CC4" s="185"/>
      <c r="CD4" s="185"/>
      <c r="CE4" s="185"/>
      <c r="CF4" s="186"/>
      <c r="CG4" s="19"/>
      <c r="CH4" s="181" t="str">
        <f>IF(A3&lt;&gt;"","September " &amp;A3,"")</f>
        <v>September 0</v>
      </c>
      <c r="CI4" s="182"/>
      <c r="CJ4" s="182"/>
      <c r="CK4" s="182"/>
      <c r="CL4" s="182"/>
      <c r="CM4" s="182"/>
      <c r="CN4" s="183"/>
      <c r="CO4" s="19"/>
      <c r="CP4" s="184" t="str">
        <f>IF(A3&lt;&gt;"","Oktober " &amp;A3,"")</f>
        <v>Oktober 0</v>
      </c>
      <c r="CQ4" s="185"/>
      <c r="CR4" s="185"/>
      <c r="CS4" s="185"/>
      <c r="CT4" s="185"/>
      <c r="CU4" s="185"/>
      <c r="CV4" s="186"/>
      <c r="CW4" s="19"/>
      <c r="CX4" s="181" t="str">
        <f>IF(A3&lt;&gt;"","November " &amp;A3,"")</f>
        <v>November 0</v>
      </c>
      <c r="CY4" s="182"/>
      <c r="CZ4" s="182"/>
      <c r="DA4" s="182"/>
      <c r="DB4" s="182"/>
      <c r="DC4" s="182"/>
      <c r="DD4" s="183"/>
      <c r="DE4" s="19"/>
      <c r="DF4" s="184" t="str">
        <f>IF(A3&lt;&gt;"","Dezember " &amp;A3,"")</f>
        <v>Dezember 0</v>
      </c>
      <c r="DG4" s="185"/>
      <c r="DH4" s="185"/>
      <c r="DI4" s="185"/>
      <c r="DJ4" s="185"/>
      <c r="DK4" s="185"/>
      <c r="DL4" s="186"/>
      <c r="DM4" s="65"/>
    </row>
    <row r="5" spans="1:117">
      <c r="A5" s="71"/>
      <c r="B5" s="67"/>
      <c r="C5" s="67"/>
      <c r="D5" s="72"/>
      <c r="E5" s="72"/>
      <c r="F5" s="73"/>
      <c r="G5" s="74"/>
      <c r="H5" s="74"/>
      <c r="I5" s="74"/>
      <c r="J5" s="74"/>
      <c r="K5" s="75"/>
      <c r="L5" s="76"/>
      <c r="M5" s="71"/>
      <c r="N5" s="77"/>
      <c r="O5" s="78"/>
      <c r="P5" s="78"/>
      <c r="Q5" s="78"/>
      <c r="R5" s="78"/>
      <c r="S5" s="79"/>
      <c r="T5" s="80"/>
      <c r="U5" s="81"/>
      <c r="V5" s="73"/>
      <c r="W5" s="74"/>
      <c r="X5" s="74"/>
      <c r="Y5" s="74"/>
      <c r="Z5" s="74"/>
      <c r="AA5" s="75"/>
      <c r="AB5" s="76"/>
      <c r="AC5" s="71"/>
      <c r="AD5" s="77"/>
      <c r="AE5" s="78"/>
      <c r="AF5" s="78"/>
      <c r="AG5" s="78"/>
      <c r="AH5" s="78"/>
      <c r="AI5" s="79"/>
      <c r="AJ5" s="80"/>
      <c r="AK5" s="81"/>
      <c r="AL5" s="73"/>
      <c r="AM5" s="74"/>
      <c r="AN5" s="74"/>
      <c r="AO5" s="74"/>
      <c r="AP5" s="74"/>
      <c r="AQ5" s="75"/>
      <c r="AR5" s="76"/>
      <c r="AS5" s="71"/>
      <c r="AT5" s="77"/>
      <c r="AU5" s="78"/>
      <c r="AV5" s="78"/>
      <c r="AW5" s="78"/>
      <c r="AX5" s="78"/>
      <c r="AY5" s="79"/>
      <c r="AZ5" s="80"/>
      <c r="BA5" s="81"/>
      <c r="BB5" s="73"/>
      <c r="BC5" s="74"/>
      <c r="BD5" s="74"/>
      <c r="BE5" s="74"/>
      <c r="BF5" s="74"/>
      <c r="BG5" s="75"/>
      <c r="BH5" s="76"/>
      <c r="BI5" s="71"/>
      <c r="BJ5" s="77"/>
      <c r="BK5" s="78"/>
      <c r="BL5" s="78"/>
      <c r="BM5" s="78"/>
      <c r="BN5" s="78"/>
      <c r="BO5" s="79"/>
      <c r="BP5" s="80"/>
      <c r="BQ5" s="81"/>
      <c r="BR5" s="73"/>
      <c r="BS5" s="74"/>
      <c r="BT5" s="74"/>
      <c r="BU5" s="74"/>
      <c r="BV5" s="74"/>
      <c r="BW5" s="75"/>
      <c r="BX5" s="76"/>
      <c r="BY5" s="71"/>
      <c r="BZ5" s="73"/>
      <c r="CA5" s="74"/>
      <c r="CB5" s="74"/>
      <c r="CC5" s="74"/>
      <c r="CD5" s="74"/>
      <c r="CE5" s="75"/>
      <c r="CF5" s="76"/>
      <c r="CG5" s="71"/>
      <c r="CH5" s="77"/>
      <c r="CI5" s="78"/>
      <c r="CJ5" s="78"/>
      <c r="CK5" s="78"/>
      <c r="CL5" s="78"/>
      <c r="CM5" s="79"/>
      <c r="CN5" s="80"/>
      <c r="CO5" s="81"/>
      <c r="CP5" s="73"/>
      <c r="CQ5" s="74"/>
      <c r="CR5" s="74"/>
      <c r="CS5" s="74"/>
      <c r="CT5" s="74"/>
      <c r="CU5" s="75"/>
      <c r="CV5" s="76"/>
      <c r="CW5" s="71"/>
      <c r="CX5" s="77"/>
      <c r="CY5" s="78"/>
      <c r="CZ5" s="78"/>
      <c r="DA5" s="78"/>
      <c r="DB5" s="78"/>
      <c r="DC5" s="79"/>
      <c r="DD5" s="80"/>
      <c r="DE5" s="81"/>
      <c r="DF5" s="73"/>
      <c r="DG5" s="74"/>
      <c r="DH5" s="74"/>
      <c r="DI5" s="74"/>
      <c r="DJ5" s="74"/>
      <c r="DK5" s="75"/>
      <c r="DL5" s="76"/>
      <c r="DM5" s="71"/>
    </row>
    <row r="6" spans="1:117" ht="24">
      <c r="A6" s="82" t="s">
        <v>6</v>
      </c>
      <c r="B6" s="83" t="s">
        <v>9</v>
      </c>
      <c r="C6" s="83"/>
      <c r="D6" s="84" t="s">
        <v>5</v>
      </c>
      <c r="E6" s="85"/>
      <c r="F6" s="86" t="s">
        <v>0</v>
      </c>
      <c r="G6" s="87" t="s">
        <v>1</v>
      </c>
      <c r="H6" s="87" t="s">
        <v>2</v>
      </c>
      <c r="I6" s="87" t="s">
        <v>3</v>
      </c>
      <c r="J6" s="87" t="s">
        <v>4</v>
      </c>
      <c r="K6" s="88" t="s">
        <v>13</v>
      </c>
      <c r="L6" s="89" t="s">
        <v>14</v>
      </c>
      <c r="M6" s="90"/>
      <c r="N6" s="86" t="s">
        <v>0</v>
      </c>
      <c r="O6" s="87" t="s">
        <v>1</v>
      </c>
      <c r="P6" s="87" t="s">
        <v>2</v>
      </c>
      <c r="Q6" s="87" t="s">
        <v>3</v>
      </c>
      <c r="R6" s="87" t="s">
        <v>4</v>
      </c>
      <c r="S6" s="88" t="s">
        <v>13</v>
      </c>
      <c r="T6" s="89" t="s">
        <v>14</v>
      </c>
      <c r="U6" s="91"/>
      <c r="V6" s="86" t="s">
        <v>0</v>
      </c>
      <c r="W6" s="87" t="s">
        <v>1</v>
      </c>
      <c r="X6" s="87" t="s">
        <v>2</v>
      </c>
      <c r="Y6" s="87" t="s">
        <v>3</v>
      </c>
      <c r="Z6" s="87" t="s">
        <v>4</v>
      </c>
      <c r="AA6" s="87" t="s">
        <v>13</v>
      </c>
      <c r="AB6" s="92" t="s">
        <v>14</v>
      </c>
      <c r="AC6" s="90"/>
      <c r="AD6" s="86" t="s">
        <v>0</v>
      </c>
      <c r="AE6" s="87" t="s">
        <v>1</v>
      </c>
      <c r="AF6" s="87" t="s">
        <v>2</v>
      </c>
      <c r="AG6" s="87" t="s">
        <v>3</v>
      </c>
      <c r="AH6" s="87" t="s">
        <v>4</v>
      </c>
      <c r="AI6" s="88" t="s">
        <v>13</v>
      </c>
      <c r="AJ6" s="89" t="s">
        <v>14</v>
      </c>
      <c r="AK6" s="91"/>
      <c r="AL6" s="86" t="s">
        <v>0</v>
      </c>
      <c r="AM6" s="87" t="s">
        <v>1</v>
      </c>
      <c r="AN6" s="87" t="s">
        <v>2</v>
      </c>
      <c r="AO6" s="87" t="s">
        <v>3</v>
      </c>
      <c r="AP6" s="87" t="s">
        <v>4</v>
      </c>
      <c r="AQ6" s="87" t="s">
        <v>13</v>
      </c>
      <c r="AR6" s="92" t="s">
        <v>14</v>
      </c>
      <c r="AS6" s="90"/>
      <c r="AT6" s="86" t="s">
        <v>0</v>
      </c>
      <c r="AU6" s="87" t="s">
        <v>1</v>
      </c>
      <c r="AV6" s="87" t="s">
        <v>2</v>
      </c>
      <c r="AW6" s="87" t="s">
        <v>3</v>
      </c>
      <c r="AX6" s="87" t="s">
        <v>4</v>
      </c>
      <c r="AY6" s="88" t="s">
        <v>13</v>
      </c>
      <c r="AZ6" s="89" t="s">
        <v>14</v>
      </c>
      <c r="BA6" s="91"/>
      <c r="BB6" s="86" t="s">
        <v>0</v>
      </c>
      <c r="BC6" s="87" t="s">
        <v>1</v>
      </c>
      <c r="BD6" s="87" t="s">
        <v>2</v>
      </c>
      <c r="BE6" s="87" t="s">
        <v>3</v>
      </c>
      <c r="BF6" s="87" t="s">
        <v>4</v>
      </c>
      <c r="BG6" s="87" t="s">
        <v>13</v>
      </c>
      <c r="BH6" s="92" t="s">
        <v>14</v>
      </c>
      <c r="BI6" s="90"/>
      <c r="BJ6" s="86" t="s">
        <v>0</v>
      </c>
      <c r="BK6" s="87" t="s">
        <v>1</v>
      </c>
      <c r="BL6" s="87" t="s">
        <v>2</v>
      </c>
      <c r="BM6" s="87" t="s">
        <v>3</v>
      </c>
      <c r="BN6" s="87" t="s">
        <v>4</v>
      </c>
      <c r="BO6" s="88" t="s">
        <v>13</v>
      </c>
      <c r="BP6" s="89" t="s">
        <v>14</v>
      </c>
      <c r="BQ6" s="91"/>
      <c r="BR6" s="86" t="s">
        <v>0</v>
      </c>
      <c r="BS6" s="87" t="s">
        <v>1</v>
      </c>
      <c r="BT6" s="87" t="s">
        <v>2</v>
      </c>
      <c r="BU6" s="87" t="s">
        <v>3</v>
      </c>
      <c r="BV6" s="87" t="s">
        <v>4</v>
      </c>
      <c r="BW6" s="87" t="s">
        <v>13</v>
      </c>
      <c r="BX6" s="92" t="s">
        <v>14</v>
      </c>
      <c r="BY6" s="90"/>
      <c r="BZ6" s="86" t="s">
        <v>0</v>
      </c>
      <c r="CA6" s="87" t="s">
        <v>1</v>
      </c>
      <c r="CB6" s="87" t="s">
        <v>2</v>
      </c>
      <c r="CC6" s="87" t="s">
        <v>3</v>
      </c>
      <c r="CD6" s="87" t="s">
        <v>4</v>
      </c>
      <c r="CE6" s="87" t="s">
        <v>13</v>
      </c>
      <c r="CF6" s="92" t="s">
        <v>14</v>
      </c>
      <c r="CG6" s="90"/>
      <c r="CH6" s="86" t="s">
        <v>0</v>
      </c>
      <c r="CI6" s="87" t="s">
        <v>1</v>
      </c>
      <c r="CJ6" s="87" t="s">
        <v>2</v>
      </c>
      <c r="CK6" s="87" t="s">
        <v>3</v>
      </c>
      <c r="CL6" s="87" t="s">
        <v>4</v>
      </c>
      <c r="CM6" s="88" t="s">
        <v>13</v>
      </c>
      <c r="CN6" s="89" t="s">
        <v>14</v>
      </c>
      <c r="CO6" s="91"/>
      <c r="CP6" s="86" t="s">
        <v>0</v>
      </c>
      <c r="CQ6" s="87" t="s">
        <v>1</v>
      </c>
      <c r="CR6" s="87" t="s">
        <v>2</v>
      </c>
      <c r="CS6" s="87" t="s">
        <v>3</v>
      </c>
      <c r="CT6" s="87" t="s">
        <v>4</v>
      </c>
      <c r="CU6" s="87" t="s">
        <v>13</v>
      </c>
      <c r="CV6" s="92" t="s">
        <v>14</v>
      </c>
      <c r="CW6" s="90"/>
      <c r="CX6" s="86" t="s">
        <v>0</v>
      </c>
      <c r="CY6" s="87" t="s">
        <v>1</v>
      </c>
      <c r="CZ6" s="87" t="s">
        <v>2</v>
      </c>
      <c r="DA6" s="87" t="s">
        <v>3</v>
      </c>
      <c r="DB6" s="87" t="s">
        <v>4</v>
      </c>
      <c r="DC6" s="88" t="s">
        <v>13</v>
      </c>
      <c r="DD6" s="89" t="s">
        <v>14</v>
      </c>
      <c r="DE6" s="91"/>
      <c r="DF6" s="86" t="s">
        <v>0</v>
      </c>
      <c r="DG6" s="87" t="s">
        <v>1</v>
      </c>
      <c r="DH6" s="87" t="s">
        <v>2</v>
      </c>
      <c r="DI6" s="87" t="s">
        <v>3</v>
      </c>
      <c r="DJ6" s="87" t="s">
        <v>4</v>
      </c>
      <c r="DK6" s="87" t="s">
        <v>13</v>
      </c>
      <c r="DL6" s="92" t="s">
        <v>14</v>
      </c>
      <c r="DM6" s="90"/>
    </row>
    <row r="7" spans="1:117">
      <c r="A7" s="50"/>
      <c r="B7" s="51"/>
      <c r="C7" s="31" t="str">
        <f ca="1">IF(B7&lt;&gt;"",DATEDIF(B7,TODAY(),"Y")&amp;" J, " &amp; DATEDIF(B7,TODAY(),"YM")&amp; " Mt","")</f>
        <v/>
      </c>
      <c r="D7" s="52"/>
      <c r="E7" s="53"/>
      <c r="F7" s="54"/>
      <c r="G7" s="55"/>
      <c r="H7" s="55"/>
      <c r="I7" s="55"/>
      <c r="J7" s="55"/>
      <c r="K7" s="56"/>
      <c r="L7" s="57"/>
      <c r="M7" s="58"/>
      <c r="N7" s="59" t="str">
        <f t="shared" ref="N7:S8" si="0">IF(F7="","",F7)</f>
        <v/>
      </c>
      <c r="O7" s="60" t="str">
        <f t="shared" si="0"/>
        <v/>
      </c>
      <c r="P7" s="60" t="str">
        <f t="shared" si="0"/>
        <v/>
      </c>
      <c r="Q7" s="60" t="str">
        <f t="shared" si="0"/>
        <v/>
      </c>
      <c r="R7" s="60" t="str">
        <f t="shared" si="0"/>
        <v/>
      </c>
      <c r="S7" s="61" t="str">
        <f t="shared" si="0"/>
        <v/>
      </c>
      <c r="T7" s="62"/>
      <c r="U7" s="63"/>
      <c r="V7" s="54" t="str">
        <f t="shared" ref="V7:AA8" si="1">IF(N7="","",N7)</f>
        <v/>
      </c>
      <c r="W7" s="55" t="str">
        <f t="shared" si="1"/>
        <v/>
      </c>
      <c r="X7" s="55" t="str">
        <f t="shared" si="1"/>
        <v/>
      </c>
      <c r="Y7" s="55" t="str">
        <f t="shared" si="1"/>
        <v/>
      </c>
      <c r="Z7" s="55" t="str">
        <f t="shared" si="1"/>
        <v/>
      </c>
      <c r="AA7" s="56" t="str">
        <f t="shared" si="1"/>
        <v/>
      </c>
      <c r="AB7" s="57"/>
      <c r="AC7" s="58"/>
      <c r="AD7" s="59" t="str">
        <f t="shared" ref="AD7:AI8" si="2">IF(V7="","",V7)</f>
        <v/>
      </c>
      <c r="AE7" s="60" t="str">
        <f t="shared" si="2"/>
        <v/>
      </c>
      <c r="AF7" s="60" t="str">
        <f t="shared" si="2"/>
        <v/>
      </c>
      <c r="AG7" s="60" t="str">
        <f t="shared" si="2"/>
        <v/>
      </c>
      <c r="AH7" s="60" t="str">
        <f t="shared" si="2"/>
        <v/>
      </c>
      <c r="AI7" s="61" t="str">
        <f t="shared" si="2"/>
        <v/>
      </c>
      <c r="AJ7" s="62"/>
      <c r="AK7" s="63"/>
      <c r="AL7" s="54" t="str">
        <f t="shared" ref="AL7:AQ8" si="3">IF(AD7="","",AD7)</f>
        <v/>
      </c>
      <c r="AM7" s="55" t="str">
        <f t="shared" si="3"/>
        <v/>
      </c>
      <c r="AN7" s="55" t="str">
        <f t="shared" si="3"/>
        <v/>
      </c>
      <c r="AO7" s="55" t="str">
        <f t="shared" si="3"/>
        <v/>
      </c>
      <c r="AP7" s="55" t="str">
        <f t="shared" si="3"/>
        <v/>
      </c>
      <c r="AQ7" s="56" t="str">
        <f t="shared" si="3"/>
        <v/>
      </c>
      <c r="AR7" s="57"/>
      <c r="AS7" s="58"/>
      <c r="AT7" s="59" t="str">
        <f t="shared" ref="AT7:AY8" si="4">IF(AL7="","",AL7)</f>
        <v/>
      </c>
      <c r="AU7" s="60" t="str">
        <f t="shared" si="4"/>
        <v/>
      </c>
      <c r="AV7" s="60" t="str">
        <f t="shared" si="4"/>
        <v/>
      </c>
      <c r="AW7" s="60" t="str">
        <f t="shared" si="4"/>
        <v/>
      </c>
      <c r="AX7" s="60" t="str">
        <f t="shared" si="4"/>
        <v/>
      </c>
      <c r="AY7" s="61" t="str">
        <f t="shared" si="4"/>
        <v/>
      </c>
      <c r="AZ7" s="62"/>
      <c r="BA7" s="63"/>
      <c r="BB7" s="54" t="str">
        <f t="shared" ref="BB7:BG8" si="5">IF(AT7="","",AT7)</f>
        <v/>
      </c>
      <c r="BC7" s="55" t="str">
        <f t="shared" si="5"/>
        <v/>
      </c>
      <c r="BD7" s="55" t="str">
        <f t="shared" si="5"/>
        <v/>
      </c>
      <c r="BE7" s="55" t="str">
        <f t="shared" si="5"/>
        <v/>
      </c>
      <c r="BF7" s="55" t="str">
        <f t="shared" si="5"/>
        <v/>
      </c>
      <c r="BG7" s="56" t="str">
        <f t="shared" si="5"/>
        <v/>
      </c>
      <c r="BH7" s="57"/>
      <c r="BI7" s="58"/>
      <c r="BJ7" s="59" t="str">
        <f t="shared" ref="BJ7:BO8" si="6">IF(BB7="","",BB7)</f>
        <v/>
      </c>
      <c r="BK7" s="60" t="str">
        <f t="shared" si="6"/>
        <v/>
      </c>
      <c r="BL7" s="60" t="str">
        <f t="shared" si="6"/>
        <v/>
      </c>
      <c r="BM7" s="60" t="str">
        <f t="shared" si="6"/>
        <v/>
      </c>
      <c r="BN7" s="60" t="str">
        <f t="shared" si="6"/>
        <v/>
      </c>
      <c r="BO7" s="61" t="str">
        <f t="shared" si="6"/>
        <v/>
      </c>
      <c r="BP7" s="62"/>
      <c r="BQ7" s="63"/>
      <c r="BR7" s="54" t="str">
        <f t="shared" ref="BR7:BW8" si="7">IF(BJ7="","",BJ7)</f>
        <v/>
      </c>
      <c r="BS7" s="55" t="str">
        <f t="shared" si="7"/>
        <v/>
      </c>
      <c r="BT7" s="55" t="str">
        <f t="shared" si="7"/>
        <v/>
      </c>
      <c r="BU7" s="55" t="str">
        <f t="shared" si="7"/>
        <v/>
      </c>
      <c r="BV7" s="55" t="str">
        <f t="shared" si="7"/>
        <v/>
      </c>
      <c r="BW7" s="56" t="str">
        <f t="shared" si="7"/>
        <v/>
      </c>
      <c r="BX7" s="57"/>
      <c r="BY7" s="58"/>
      <c r="BZ7" s="54" t="str">
        <f t="shared" ref="BZ7:CF8" si="8">IF(BR7="","",BR7)</f>
        <v/>
      </c>
      <c r="CA7" s="54" t="str">
        <f t="shared" si="8"/>
        <v/>
      </c>
      <c r="CB7" s="55" t="str">
        <f t="shared" si="8"/>
        <v/>
      </c>
      <c r="CC7" s="55" t="str">
        <f t="shared" si="8"/>
        <v/>
      </c>
      <c r="CD7" s="55" t="str">
        <f t="shared" si="8"/>
        <v/>
      </c>
      <c r="CE7" s="55" t="str">
        <f t="shared" si="8"/>
        <v/>
      </c>
      <c r="CF7" s="56" t="str">
        <f t="shared" si="8"/>
        <v/>
      </c>
      <c r="CG7" s="58"/>
      <c r="CH7" s="59" t="str">
        <f t="shared" ref="CH7:CM8" si="9">IF(BZ7="","",BZ7)</f>
        <v/>
      </c>
      <c r="CI7" s="60" t="str">
        <f t="shared" si="9"/>
        <v/>
      </c>
      <c r="CJ7" s="60" t="str">
        <f t="shared" si="9"/>
        <v/>
      </c>
      <c r="CK7" s="60" t="str">
        <f t="shared" si="9"/>
        <v/>
      </c>
      <c r="CL7" s="60" t="str">
        <f t="shared" si="9"/>
        <v/>
      </c>
      <c r="CM7" s="61" t="str">
        <f t="shared" si="9"/>
        <v/>
      </c>
      <c r="CN7" s="62"/>
      <c r="CO7" s="63"/>
      <c r="CP7" s="54" t="str">
        <f t="shared" ref="CP7:CU8" si="10">IF(CH7="","",CH7)</f>
        <v/>
      </c>
      <c r="CQ7" s="55" t="str">
        <f t="shared" si="10"/>
        <v/>
      </c>
      <c r="CR7" s="55" t="str">
        <f t="shared" si="10"/>
        <v/>
      </c>
      <c r="CS7" s="55" t="str">
        <f t="shared" si="10"/>
        <v/>
      </c>
      <c r="CT7" s="55" t="str">
        <f t="shared" si="10"/>
        <v/>
      </c>
      <c r="CU7" s="56" t="str">
        <f t="shared" si="10"/>
        <v/>
      </c>
      <c r="CV7" s="57"/>
      <c r="CW7" s="58"/>
      <c r="CX7" s="59" t="str">
        <f t="shared" ref="CX7:DC8" si="11">IF(CP7="","",CP7)</f>
        <v/>
      </c>
      <c r="CY7" s="60" t="str">
        <f t="shared" si="11"/>
        <v/>
      </c>
      <c r="CZ7" s="60" t="str">
        <f t="shared" si="11"/>
        <v/>
      </c>
      <c r="DA7" s="60" t="str">
        <f t="shared" si="11"/>
        <v/>
      </c>
      <c r="DB7" s="60" t="str">
        <f t="shared" si="11"/>
        <v/>
      </c>
      <c r="DC7" s="61" t="str">
        <f t="shared" si="11"/>
        <v/>
      </c>
      <c r="DD7" s="62"/>
      <c r="DE7" s="63"/>
      <c r="DF7" s="54" t="str">
        <f t="shared" ref="DF7:DK8" si="12">IF(CX7="","",CX7)</f>
        <v/>
      </c>
      <c r="DG7" s="55" t="str">
        <f t="shared" si="12"/>
        <v/>
      </c>
      <c r="DH7" s="55" t="str">
        <f t="shared" si="12"/>
        <v/>
      </c>
      <c r="DI7" s="55" t="str">
        <f t="shared" si="12"/>
        <v/>
      </c>
      <c r="DJ7" s="55" t="str">
        <f t="shared" si="12"/>
        <v/>
      </c>
      <c r="DK7" s="56" t="str">
        <f t="shared" si="12"/>
        <v/>
      </c>
      <c r="DL7" s="57"/>
      <c r="DM7" s="58"/>
    </row>
    <row r="8" spans="1:117">
      <c r="A8" s="50"/>
      <c r="B8" s="51"/>
      <c r="C8" s="31" t="str">
        <f ca="1">IF(B8&lt;&gt;"",DATEDIF(B8,TODAY(),"Y")&amp;" J, " &amp; DATEDIF(B8,TODAY(),"YM")&amp; " Mt","")</f>
        <v/>
      </c>
      <c r="D8" s="52"/>
      <c r="E8" s="53"/>
      <c r="F8" s="54"/>
      <c r="G8" s="55"/>
      <c r="H8" s="55"/>
      <c r="I8" s="55"/>
      <c r="J8" s="55"/>
      <c r="K8" s="56"/>
      <c r="L8" s="57"/>
      <c r="M8" s="58"/>
      <c r="N8" s="59" t="str">
        <f t="shared" si="0"/>
        <v/>
      </c>
      <c r="O8" s="60" t="str">
        <f t="shared" si="0"/>
        <v/>
      </c>
      <c r="P8" s="60" t="str">
        <f t="shared" si="0"/>
        <v/>
      </c>
      <c r="Q8" s="60" t="str">
        <f t="shared" si="0"/>
        <v/>
      </c>
      <c r="R8" s="60" t="str">
        <f t="shared" si="0"/>
        <v/>
      </c>
      <c r="S8" s="61" t="str">
        <f t="shared" si="0"/>
        <v/>
      </c>
      <c r="T8" s="139"/>
      <c r="U8" s="63"/>
      <c r="V8" s="54" t="str">
        <f t="shared" si="1"/>
        <v/>
      </c>
      <c r="W8" s="55" t="str">
        <f t="shared" si="1"/>
        <v/>
      </c>
      <c r="X8" s="55" t="str">
        <f t="shared" si="1"/>
        <v/>
      </c>
      <c r="Y8" s="55" t="str">
        <f t="shared" si="1"/>
        <v/>
      </c>
      <c r="Z8" s="55" t="str">
        <f t="shared" si="1"/>
        <v/>
      </c>
      <c r="AA8" s="56" t="str">
        <f t="shared" si="1"/>
        <v/>
      </c>
      <c r="AB8" s="140"/>
      <c r="AC8" s="58"/>
      <c r="AD8" s="59" t="str">
        <f t="shared" si="2"/>
        <v/>
      </c>
      <c r="AE8" s="60" t="str">
        <f t="shared" si="2"/>
        <v/>
      </c>
      <c r="AF8" s="60" t="str">
        <f t="shared" si="2"/>
        <v/>
      </c>
      <c r="AG8" s="60" t="str">
        <f t="shared" si="2"/>
        <v/>
      </c>
      <c r="AH8" s="60" t="str">
        <f t="shared" si="2"/>
        <v/>
      </c>
      <c r="AI8" s="61" t="str">
        <f t="shared" si="2"/>
        <v/>
      </c>
      <c r="AJ8" s="139"/>
      <c r="AK8" s="63"/>
      <c r="AL8" s="54" t="str">
        <f t="shared" si="3"/>
        <v/>
      </c>
      <c r="AM8" s="55" t="str">
        <f t="shared" si="3"/>
        <v/>
      </c>
      <c r="AN8" s="55" t="str">
        <f t="shared" si="3"/>
        <v/>
      </c>
      <c r="AO8" s="55" t="str">
        <f t="shared" si="3"/>
        <v/>
      </c>
      <c r="AP8" s="55" t="str">
        <f t="shared" si="3"/>
        <v/>
      </c>
      <c r="AQ8" s="56" t="str">
        <f t="shared" si="3"/>
        <v/>
      </c>
      <c r="AR8" s="140"/>
      <c r="AS8" s="58"/>
      <c r="AT8" s="59" t="str">
        <f t="shared" si="4"/>
        <v/>
      </c>
      <c r="AU8" s="60" t="str">
        <f t="shared" si="4"/>
        <v/>
      </c>
      <c r="AV8" s="60" t="str">
        <f t="shared" si="4"/>
        <v/>
      </c>
      <c r="AW8" s="60" t="str">
        <f t="shared" si="4"/>
        <v/>
      </c>
      <c r="AX8" s="60" t="str">
        <f t="shared" si="4"/>
        <v/>
      </c>
      <c r="AY8" s="61" t="str">
        <f t="shared" si="4"/>
        <v/>
      </c>
      <c r="AZ8" s="139"/>
      <c r="BA8" s="63"/>
      <c r="BB8" s="54" t="str">
        <f t="shared" si="5"/>
        <v/>
      </c>
      <c r="BC8" s="55" t="str">
        <f t="shared" si="5"/>
        <v/>
      </c>
      <c r="BD8" s="55" t="str">
        <f t="shared" si="5"/>
        <v/>
      </c>
      <c r="BE8" s="55" t="str">
        <f t="shared" si="5"/>
        <v/>
      </c>
      <c r="BF8" s="55" t="str">
        <f t="shared" si="5"/>
        <v/>
      </c>
      <c r="BG8" s="56" t="str">
        <f t="shared" si="5"/>
        <v/>
      </c>
      <c r="BH8" s="140"/>
      <c r="BI8" s="58"/>
      <c r="BJ8" s="59" t="str">
        <f t="shared" si="6"/>
        <v/>
      </c>
      <c r="BK8" s="60" t="str">
        <f t="shared" si="6"/>
        <v/>
      </c>
      <c r="BL8" s="60" t="str">
        <f t="shared" si="6"/>
        <v/>
      </c>
      <c r="BM8" s="60" t="str">
        <f t="shared" si="6"/>
        <v/>
      </c>
      <c r="BN8" s="60" t="str">
        <f t="shared" si="6"/>
        <v/>
      </c>
      <c r="BO8" s="61" t="str">
        <f t="shared" si="6"/>
        <v/>
      </c>
      <c r="BP8" s="139"/>
      <c r="BQ8" s="63"/>
      <c r="BR8" s="54" t="str">
        <f t="shared" si="7"/>
        <v/>
      </c>
      <c r="BS8" s="55" t="str">
        <f t="shared" si="7"/>
        <v/>
      </c>
      <c r="BT8" s="55" t="str">
        <f t="shared" si="7"/>
        <v/>
      </c>
      <c r="BU8" s="55" t="str">
        <f t="shared" si="7"/>
        <v/>
      </c>
      <c r="BV8" s="55" t="str">
        <f t="shared" si="7"/>
        <v/>
      </c>
      <c r="BW8" s="56" t="str">
        <f t="shared" si="7"/>
        <v/>
      </c>
      <c r="BX8" s="140"/>
      <c r="BY8" s="58"/>
      <c r="BZ8" s="54" t="str">
        <f t="shared" si="8"/>
        <v/>
      </c>
      <c r="CA8" s="54" t="str">
        <f t="shared" si="8"/>
        <v/>
      </c>
      <c r="CB8" s="55" t="str">
        <f t="shared" si="8"/>
        <v/>
      </c>
      <c r="CC8" s="55" t="str">
        <f t="shared" si="8"/>
        <v/>
      </c>
      <c r="CD8" s="55" t="str">
        <f t="shared" si="8"/>
        <v/>
      </c>
      <c r="CE8" s="55" t="str">
        <f t="shared" si="8"/>
        <v/>
      </c>
      <c r="CF8" s="56" t="str">
        <f t="shared" si="8"/>
        <v/>
      </c>
      <c r="CG8" s="58"/>
      <c r="CH8" s="59" t="str">
        <f t="shared" si="9"/>
        <v/>
      </c>
      <c r="CI8" s="60" t="str">
        <f t="shared" si="9"/>
        <v/>
      </c>
      <c r="CJ8" s="60" t="str">
        <f t="shared" si="9"/>
        <v/>
      </c>
      <c r="CK8" s="60" t="str">
        <f t="shared" si="9"/>
        <v/>
      </c>
      <c r="CL8" s="60" t="str">
        <f t="shared" si="9"/>
        <v/>
      </c>
      <c r="CM8" s="61" t="str">
        <f t="shared" si="9"/>
        <v/>
      </c>
      <c r="CN8" s="139"/>
      <c r="CO8" s="63"/>
      <c r="CP8" s="54" t="str">
        <f t="shared" si="10"/>
        <v/>
      </c>
      <c r="CQ8" s="55" t="str">
        <f t="shared" si="10"/>
        <v/>
      </c>
      <c r="CR8" s="55" t="str">
        <f t="shared" si="10"/>
        <v/>
      </c>
      <c r="CS8" s="55" t="str">
        <f t="shared" si="10"/>
        <v/>
      </c>
      <c r="CT8" s="55" t="str">
        <f t="shared" si="10"/>
        <v/>
      </c>
      <c r="CU8" s="56" t="str">
        <f t="shared" si="10"/>
        <v/>
      </c>
      <c r="CV8" s="140"/>
      <c r="CW8" s="58"/>
      <c r="CX8" s="59" t="str">
        <f t="shared" si="11"/>
        <v/>
      </c>
      <c r="CY8" s="60" t="str">
        <f t="shared" si="11"/>
        <v/>
      </c>
      <c r="CZ8" s="60" t="str">
        <f t="shared" si="11"/>
        <v/>
      </c>
      <c r="DA8" s="60" t="str">
        <f t="shared" si="11"/>
        <v/>
      </c>
      <c r="DB8" s="60" t="str">
        <f t="shared" si="11"/>
        <v/>
      </c>
      <c r="DC8" s="61" t="str">
        <f t="shared" si="11"/>
        <v/>
      </c>
      <c r="DD8" s="139"/>
      <c r="DE8" s="63"/>
      <c r="DF8" s="54" t="str">
        <f t="shared" si="12"/>
        <v/>
      </c>
      <c r="DG8" s="55" t="str">
        <f t="shared" si="12"/>
        <v/>
      </c>
      <c r="DH8" s="55" t="str">
        <f t="shared" si="12"/>
        <v/>
      </c>
      <c r="DI8" s="55" t="str">
        <f t="shared" si="12"/>
        <v/>
      </c>
      <c r="DJ8" s="55" t="str">
        <f t="shared" si="12"/>
        <v/>
      </c>
      <c r="DK8" s="56" t="str">
        <f t="shared" si="12"/>
        <v/>
      </c>
      <c r="DL8" s="140"/>
      <c r="DM8" s="58"/>
    </row>
    <row r="9" spans="1:117">
      <c r="A9" s="93"/>
      <c r="B9" s="94"/>
      <c r="C9" s="133"/>
      <c r="D9" s="95" t="s">
        <v>7</v>
      </c>
      <c r="E9" s="96"/>
      <c r="F9" s="97"/>
      <c r="G9" s="98"/>
      <c r="H9" s="98"/>
      <c r="I9" s="99"/>
      <c r="J9" s="98"/>
      <c r="K9" s="100"/>
      <c r="L9" s="101"/>
      <c r="M9" s="102"/>
      <c r="N9" s="97"/>
      <c r="O9" s="98"/>
      <c r="P9" s="98"/>
      <c r="Q9" s="99"/>
      <c r="R9" s="98"/>
      <c r="S9" s="100"/>
      <c r="T9" s="103"/>
      <c r="U9" s="104"/>
      <c r="V9" s="97"/>
      <c r="W9" s="98"/>
      <c r="X9" s="98"/>
      <c r="Y9" s="99"/>
      <c r="Z9" s="98"/>
      <c r="AA9" s="100"/>
      <c r="AB9" s="103"/>
      <c r="AC9" s="102"/>
      <c r="AD9" s="97"/>
      <c r="AE9" s="98"/>
      <c r="AF9" s="98"/>
      <c r="AG9" s="99"/>
      <c r="AH9" s="98"/>
      <c r="AI9" s="100"/>
      <c r="AJ9" s="103"/>
      <c r="AK9" s="104"/>
      <c r="AL9" s="97"/>
      <c r="AM9" s="98"/>
      <c r="AN9" s="98"/>
      <c r="AO9" s="99"/>
      <c r="AP9" s="98"/>
      <c r="AQ9" s="100"/>
      <c r="AR9" s="103"/>
      <c r="AS9" s="102"/>
      <c r="AT9" s="97"/>
      <c r="AU9" s="98"/>
      <c r="AV9" s="98"/>
      <c r="AW9" s="99"/>
      <c r="AX9" s="98"/>
      <c r="AY9" s="100"/>
      <c r="AZ9" s="103"/>
      <c r="BA9" s="104"/>
      <c r="BB9" s="97"/>
      <c r="BC9" s="98"/>
      <c r="BD9" s="98"/>
      <c r="BE9" s="99"/>
      <c r="BF9" s="98"/>
      <c r="BG9" s="100"/>
      <c r="BH9" s="103"/>
      <c r="BI9" s="102"/>
      <c r="BJ9" s="97"/>
      <c r="BK9" s="98"/>
      <c r="BL9" s="98"/>
      <c r="BM9" s="99"/>
      <c r="BN9" s="98"/>
      <c r="BO9" s="100"/>
      <c r="BP9" s="103"/>
      <c r="BQ9" s="104"/>
      <c r="BR9" s="97"/>
      <c r="BS9" s="98"/>
      <c r="BT9" s="98"/>
      <c r="BU9" s="99"/>
      <c r="BV9" s="98"/>
      <c r="BW9" s="100"/>
      <c r="BX9" s="103"/>
      <c r="BY9" s="102"/>
      <c r="BZ9" s="97"/>
      <c r="CA9" s="98"/>
      <c r="CB9" s="98"/>
      <c r="CC9" s="99"/>
      <c r="CD9" s="98"/>
      <c r="CE9" s="100"/>
      <c r="CF9" s="103"/>
      <c r="CG9" s="102"/>
      <c r="CH9" s="97"/>
      <c r="CI9" s="98"/>
      <c r="CJ9" s="98"/>
      <c r="CK9" s="99"/>
      <c r="CL9" s="98"/>
      <c r="CM9" s="100"/>
      <c r="CN9" s="103"/>
      <c r="CO9" s="104"/>
      <c r="CP9" s="97"/>
      <c r="CQ9" s="98"/>
      <c r="CR9" s="98"/>
      <c r="CS9" s="99"/>
      <c r="CT9" s="98"/>
      <c r="CU9" s="100"/>
      <c r="CV9" s="103"/>
      <c r="CW9" s="102"/>
      <c r="CX9" s="97"/>
      <c r="CY9" s="98"/>
      <c r="CZ9" s="98"/>
      <c r="DA9" s="99"/>
      <c r="DB9" s="98"/>
      <c r="DC9" s="100"/>
      <c r="DD9" s="103"/>
      <c r="DE9" s="104"/>
      <c r="DF9" s="97"/>
      <c r="DG9" s="98"/>
      <c r="DH9" s="98"/>
      <c r="DI9" s="99"/>
      <c r="DJ9" s="98"/>
      <c r="DK9" s="100"/>
      <c r="DL9" s="103"/>
      <c r="DM9" s="102"/>
    </row>
    <row r="10" spans="1:117">
      <c r="A10" s="105"/>
      <c r="B10" s="106"/>
      <c r="C10" s="134"/>
      <c r="D10" s="43">
        <f>AVERAGE(K10,S10,AA10,AI10,AQ10,AY10,BG10,BO10,BW10,CM10,CU10,DC10,DK10)</f>
        <v>0</v>
      </c>
      <c r="E10" s="107"/>
      <c r="F10" s="15">
        <f>SUM(F7:F8)</f>
        <v>0</v>
      </c>
      <c r="G10" s="7">
        <f t="shared" ref="G10:J10" si="13">SUM(G7:G8)</f>
        <v>0</v>
      </c>
      <c r="H10" s="7">
        <f t="shared" si="13"/>
        <v>0</v>
      </c>
      <c r="I10" s="7">
        <f t="shared" si="13"/>
        <v>0</v>
      </c>
      <c r="J10" s="7">
        <f t="shared" si="13"/>
        <v>0</v>
      </c>
      <c r="K10" s="40">
        <f>AVERAGE(F10:J10)</f>
        <v>0</v>
      </c>
      <c r="L10" s="108"/>
      <c r="M10" s="45"/>
      <c r="N10" s="46">
        <f>SUM(N7:N8)</f>
        <v>0</v>
      </c>
      <c r="O10" s="47">
        <f t="shared" ref="O10:R10" si="14">SUM(O7:O8)</f>
        <v>0</v>
      </c>
      <c r="P10" s="48">
        <f t="shared" si="14"/>
        <v>0</v>
      </c>
      <c r="Q10" s="47">
        <f t="shared" si="14"/>
        <v>0</v>
      </c>
      <c r="R10" s="47">
        <f t="shared" si="14"/>
        <v>0</v>
      </c>
      <c r="S10" s="33">
        <f>AVERAGE(N10:R10)</f>
        <v>0</v>
      </c>
      <c r="T10" s="109"/>
      <c r="U10" s="49"/>
      <c r="V10" s="15">
        <f>SUM(V7:V8)</f>
        <v>0</v>
      </c>
      <c r="W10" s="7">
        <f t="shared" ref="W10:Z10" si="15">SUM(W7:W8)</f>
        <v>0</v>
      </c>
      <c r="X10" s="7">
        <f t="shared" si="15"/>
        <v>0</v>
      </c>
      <c r="Y10" s="7">
        <f t="shared" si="15"/>
        <v>0</v>
      </c>
      <c r="Z10" s="7">
        <f t="shared" si="15"/>
        <v>0</v>
      </c>
      <c r="AA10" s="40">
        <f>AVERAGE(V10:Z10)</f>
        <v>0</v>
      </c>
      <c r="AB10" s="108"/>
      <c r="AC10" s="45"/>
      <c r="AD10" s="46">
        <f>SUM(AD7:AD8)</f>
        <v>0</v>
      </c>
      <c r="AE10" s="47">
        <f t="shared" ref="AE10:AH10" si="16">SUM(AE7:AE8)</f>
        <v>0</v>
      </c>
      <c r="AF10" s="48">
        <f t="shared" si="16"/>
        <v>0</v>
      </c>
      <c r="AG10" s="47">
        <f t="shared" si="16"/>
        <v>0</v>
      </c>
      <c r="AH10" s="47">
        <f t="shared" si="16"/>
        <v>0</v>
      </c>
      <c r="AI10" s="33">
        <f>AVERAGE(AD10:AH10)</f>
        <v>0</v>
      </c>
      <c r="AJ10" s="109"/>
      <c r="AK10" s="49"/>
      <c r="AL10" s="15">
        <f>SUM(AL7:AL8)</f>
        <v>0</v>
      </c>
      <c r="AM10" s="7">
        <f t="shared" ref="AM10:AP10" si="17">SUM(AM7:AM8)</f>
        <v>0</v>
      </c>
      <c r="AN10" s="7">
        <f t="shared" si="17"/>
        <v>0</v>
      </c>
      <c r="AO10" s="7">
        <f t="shared" si="17"/>
        <v>0</v>
      </c>
      <c r="AP10" s="7">
        <f t="shared" si="17"/>
        <v>0</v>
      </c>
      <c r="AQ10" s="40">
        <f>AVERAGE(AL10:AP10)</f>
        <v>0</v>
      </c>
      <c r="AR10" s="108"/>
      <c r="AS10" s="45"/>
      <c r="AT10" s="46">
        <f>SUM(AT7:AT8)</f>
        <v>0</v>
      </c>
      <c r="AU10" s="47">
        <f t="shared" ref="AU10:AX10" si="18">SUM(AU7:AU8)</f>
        <v>0</v>
      </c>
      <c r="AV10" s="48">
        <f t="shared" si="18"/>
        <v>0</v>
      </c>
      <c r="AW10" s="47">
        <f t="shared" si="18"/>
        <v>0</v>
      </c>
      <c r="AX10" s="47">
        <f t="shared" si="18"/>
        <v>0</v>
      </c>
      <c r="AY10" s="33">
        <f>AVERAGE(AT10:AX10)</f>
        <v>0</v>
      </c>
      <c r="AZ10" s="109"/>
      <c r="BA10" s="49"/>
      <c r="BB10" s="15">
        <f>SUM(BB7:BB8)</f>
        <v>0</v>
      </c>
      <c r="BC10" s="7">
        <f t="shared" ref="BC10:BF10" si="19">SUM(BC7:BC8)</f>
        <v>0</v>
      </c>
      <c r="BD10" s="7">
        <f t="shared" si="19"/>
        <v>0</v>
      </c>
      <c r="BE10" s="7">
        <f t="shared" si="19"/>
        <v>0</v>
      </c>
      <c r="BF10" s="7">
        <f t="shared" si="19"/>
        <v>0</v>
      </c>
      <c r="BG10" s="40">
        <f>AVERAGE(BB10:BF10)</f>
        <v>0</v>
      </c>
      <c r="BH10" s="108"/>
      <c r="BI10" s="45"/>
      <c r="BJ10" s="46">
        <f>SUM(BJ7:BJ8)</f>
        <v>0</v>
      </c>
      <c r="BK10" s="47">
        <f t="shared" ref="BK10:BN10" si="20">SUM(BK7:BK8)</f>
        <v>0</v>
      </c>
      <c r="BL10" s="48">
        <f t="shared" si="20"/>
        <v>0</v>
      </c>
      <c r="BM10" s="47">
        <f t="shared" si="20"/>
        <v>0</v>
      </c>
      <c r="BN10" s="47">
        <f t="shared" si="20"/>
        <v>0</v>
      </c>
      <c r="BO10" s="33">
        <f>AVERAGE(BJ10:BN10)</f>
        <v>0</v>
      </c>
      <c r="BP10" s="109"/>
      <c r="BQ10" s="49"/>
      <c r="BR10" s="15">
        <f>SUM(BR7:BR8)</f>
        <v>0</v>
      </c>
      <c r="BS10" s="7">
        <f t="shared" ref="BS10:BV10" si="21">SUM(BS7:BS8)</f>
        <v>0</v>
      </c>
      <c r="BT10" s="7">
        <f t="shared" si="21"/>
        <v>0</v>
      </c>
      <c r="BU10" s="7">
        <f t="shared" si="21"/>
        <v>0</v>
      </c>
      <c r="BV10" s="7">
        <f t="shared" si="21"/>
        <v>0</v>
      </c>
      <c r="BW10" s="40">
        <f>AVERAGE(BR10:BV10)</f>
        <v>0</v>
      </c>
      <c r="BX10" s="108"/>
      <c r="BY10" s="45"/>
      <c r="BZ10" s="15">
        <f>SUM(BZ7:BZ8)</f>
        <v>0</v>
      </c>
      <c r="CA10" s="7">
        <f t="shared" ref="CA10:CD10" si="22">SUM(CA7:CA8)</f>
        <v>0</v>
      </c>
      <c r="CB10" s="7">
        <f t="shared" si="22"/>
        <v>0</v>
      </c>
      <c r="CC10" s="7">
        <f t="shared" si="22"/>
        <v>0</v>
      </c>
      <c r="CD10" s="7">
        <f t="shared" si="22"/>
        <v>0</v>
      </c>
      <c r="CE10" s="40">
        <f>AVERAGE(BZ10:CD10)</f>
        <v>0</v>
      </c>
      <c r="CF10" s="108"/>
      <c r="CG10" s="45"/>
      <c r="CH10" s="46">
        <f>SUM(CH7:CH8)</f>
        <v>0</v>
      </c>
      <c r="CI10" s="47">
        <f t="shared" ref="CI10:CL10" si="23">SUM(CI7:CI8)</f>
        <v>0</v>
      </c>
      <c r="CJ10" s="48">
        <f t="shared" si="23"/>
        <v>0</v>
      </c>
      <c r="CK10" s="47">
        <f t="shared" si="23"/>
        <v>0</v>
      </c>
      <c r="CL10" s="47">
        <f t="shared" si="23"/>
        <v>0</v>
      </c>
      <c r="CM10" s="33">
        <f>AVERAGE(CH10:CL10)</f>
        <v>0</v>
      </c>
      <c r="CN10" s="109"/>
      <c r="CO10" s="49"/>
      <c r="CP10" s="15">
        <f>SUM(CP7:CP8)</f>
        <v>0</v>
      </c>
      <c r="CQ10" s="7">
        <f t="shared" ref="CQ10:CT10" si="24">SUM(CQ7:CQ8)</f>
        <v>0</v>
      </c>
      <c r="CR10" s="7">
        <f t="shared" si="24"/>
        <v>0</v>
      </c>
      <c r="CS10" s="7">
        <f t="shared" si="24"/>
        <v>0</v>
      </c>
      <c r="CT10" s="7">
        <f t="shared" si="24"/>
        <v>0</v>
      </c>
      <c r="CU10" s="40">
        <f>AVERAGE(CP10:CT10)</f>
        <v>0</v>
      </c>
      <c r="CV10" s="108"/>
      <c r="CW10" s="45"/>
      <c r="CX10" s="46">
        <f>SUM(CX7:CX8)</f>
        <v>0</v>
      </c>
      <c r="CY10" s="47">
        <f t="shared" ref="CY10:DB10" si="25">SUM(CY7:CY8)</f>
        <v>0</v>
      </c>
      <c r="CZ10" s="48">
        <f t="shared" si="25"/>
        <v>0</v>
      </c>
      <c r="DA10" s="47">
        <f t="shared" si="25"/>
        <v>0</v>
      </c>
      <c r="DB10" s="47">
        <f t="shared" si="25"/>
        <v>0</v>
      </c>
      <c r="DC10" s="33">
        <f>AVERAGE(CX10:DB10)</f>
        <v>0</v>
      </c>
      <c r="DD10" s="109"/>
      <c r="DE10" s="49"/>
      <c r="DF10" s="15">
        <f>SUM(DF7:DF8)</f>
        <v>0</v>
      </c>
      <c r="DG10" s="7">
        <f t="shared" ref="DG10:DJ10" si="26">SUM(DG7:DG8)</f>
        <v>0</v>
      </c>
      <c r="DH10" s="7">
        <f t="shared" si="26"/>
        <v>0</v>
      </c>
      <c r="DI10" s="7">
        <f t="shared" si="26"/>
        <v>0</v>
      </c>
      <c r="DJ10" s="7">
        <f t="shared" si="26"/>
        <v>0</v>
      </c>
      <c r="DK10" s="40">
        <f>AVERAGE(DF10:DJ10)</f>
        <v>0</v>
      </c>
      <c r="DL10" s="108"/>
      <c r="DM10" s="110"/>
    </row>
    <row r="11" spans="1:117">
      <c r="A11" s="111" t="s">
        <v>10</v>
      </c>
      <c r="B11" s="65"/>
      <c r="C11" s="65"/>
      <c r="D11" s="132"/>
      <c r="E11" s="112"/>
      <c r="F11" s="14">
        <f>$D$11</f>
        <v>0</v>
      </c>
      <c r="G11" s="6">
        <f t="shared" ref="G11:J11" si="27">$D$11</f>
        <v>0</v>
      </c>
      <c r="H11" s="6">
        <f t="shared" si="27"/>
        <v>0</v>
      </c>
      <c r="I11" s="6">
        <f t="shared" si="27"/>
        <v>0</v>
      </c>
      <c r="J11" s="6">
        <f t="shared" si="27"/>
        <v>0</v>
      </c>
      <c r="K11" s="40">
        <f>AVERAGE(F11:J11)</f>
        <v>0</v>
      </c>
      <c r="L11" s="108"/>
      <c r="M11" s="30"/>
      <c r="N11" s="9">
        <f>$D$11</f>
        <v>0</v>
      </c>
      <c r="O11" s="5">
        <f t="shared" ref="O11:R11" si="28">$D$11</f>
        <v>0</v>
      </c>
      <c r="P11" s="5">
        <f t="shared" si="28"/>
        <v>0</v>
      </c>
      <c r="Q11" s="5">
        <f t="shared" si="28"/>
        <v>0</v>
      </c>
      <c r="R11" s="5">
        <f t="shared" si="28"/>
        <v>0</v>
      </c>
      <c r="S11" s="33">
        <f>AVERAGE(N11:R11)</f>
        <v>0</v>
      </c>
      <c r="T11" s="109"/>
      <c r="U11" s="37"/>
      <c r="V11" s="14">
        <f>$D$11</f>
        <v>0</v>
      </c>
      <c r="W11" s="6">
        <f t="shared" ref="W11:Z11" si="29">$D$11</f>
        <v>0</v>
      </c>
      <c r="X11" s="6">
        <f t="shared" si="29"/>
        <v>0</v>
      </c>
      <c r="Y11" s="6">
        <f t="shared" si="29"/>
        <v>0</v>
      </c>
      <c r="Z11" s="6">
        <f t="shared" si="29"/>
        <v>0</v>
      </c>
      <c r="AA11" s="40">
        <f>AVERAGE(V11:Z11)</f>
        <v>0</v>
      </c>
      <c r="AB11" s="108"/>
      <c r="AC11" s="30"/>
      <c r="AD11" s="9">
        <f>$D$11</f>
        <v>0</v>
      </c>
      <c r="AE11" s="5">
        <f t="shared" ref="AE11:AH11" si="30">$D$11</f>
        <v>0</v>
      </c>
      <c r="AF11" s="5">
        <f t="shared" si="30"/>
        <v>0</v>
      </c>
      <c r="AG11" s="5">
        <f t="shared" si="30"/>
        <v>0</v>
      </c>
      <c r="AH11" s="5">
        <f t="shared" si="30"/>
        <v>0</v>
      </c>
      <c r="AI11" s="33">
        <f>AVERAGE(AD11:AH11)</f>
        <v>0</v>
      </c>
      <c r="AJ11" s="109"/>
      <c r="AK11" s="37"/>
      <c r="AL11" s="14">
        <f>$D$11</f>
        <v>0</v>
      </c>
      <c r="AM11" s="6">
        <f t="shared" ref="AM11:AP11" si="31">$D$11</f>
        <v>0</v>
      </c>
      <c r="AN11" s="6">
        <f t="shared" si="31"/>
        <v>0</v>
      </c>
      <c r="AO11" s="6">
        <f t="shared" si="31"/>
        <v>0</v>
      </c>
      <c r="AP11" s="6">
        <f t="shared" si="31"/>
        <v>0</v>
      </c>
      <c r="AQ11" s="40">
        <f>AVERAGE(AL11:AP11)</f>
        <v>0</v>
      </c>
      <c r="AR11" s="108"/>
      <c r="AS11" s="30"/>
      <c r="AT11" s="9">
        <f>$D$11</f>
        <v>0</v>
      </c>
      <c r="AU11" s="5">
        <f t="shared" ref="AU11:AX11" si="32">$D$11</f>
        <v>0</v>
      </c>
      <c r="AV11" s="5">
        <f t="shared" si="32"/>
        <v>0</v>
      </c>
      <c r="AW11" s="5">
        <f t="shared" si="32"/>
        <v>0</v>
      </c>
      <c r="AX11" s="5">
        <f t="shared" si="32"/>
        <v>0</v>
      </c>
      <c r="AY11" s="33">
        <f>AVERAGE(AT11:AX11)</f>
        <v>0</v>
      </c>
      <c r="AZ11" s="109"/>
      <c r="BA11" s="37"/>
      <c r="BB11" s="14">
        <f>$D$11</f>
        <v>0</v>
      </c>
      <c r="BC11" s="6">
        <f t="shared" ref="BC11:BF11" si="33">$D$11</f>
        <v>0</v>
      </c>
      <c r="BD11" s="6">
        <f t="shared" si="33"/>
        <v>0</v>
      </c>
      <c r="BE11" s="6">
        <f t="shared" si="33"/>
        <v>0</v>
      </c>
      <c r="BF11" s="6">
        <f t="shared" si="33"/>
        <v>0</v>
      </c>
      <c r="BG11" s="40">
        <f>AVERAGE(BB11:BF11)</f>
        <v>0</v>
      </c>
      <c r="BH11" s="108"/>
      <c r="BI11" s="30"/>
      <c r="BJ11" s="9">
        <f>$D$11</f>
        <v>0</v>
      </c>
      <c r="BK11" s="5">
        <f t="shared" ref="BK11:BN11" si="34">$D$11</f>
        <v>0</v>
      </c>
      <c r="BL11" s="5">
        <f t="shared" si="34"/>
        <v>0</v>
      </c>
      <c r="BM11" s="5">
        <f t="shared" si="34"/>
        <v>0</v>
      </c>
      <c r="BN11" s="5">
        <f t="shared" si="34"/>
        <v>0</v>
      </c>
      <c r="BO11" s="33">
        <f>AVERAGE(BJ11:BN11)</f>
        <v>0</v>
      </c>
      <c r="BP11" s="109"/>
      <c r="BQ11" s="37"/>
      <c r="BR11" s="14">
        <f>$D$11</f>
        <v>0</v>
      </c>
      <c r="BS11" s="6">
        <f t="shared" ref="BS11:BV11" si="35">$D$11</f>
        <v>0</v>
      </c>
      <c r="BT11" s="6">
        <f t="shared" si="35"/>
        <v>0</v>
      </c>
      <c r="BU11" s="6">
        <f t="shared" si="35"/>
        <v>0</v>
      </c>
      <c r="BV11" s="6">
        <f t="shared" si="35"/>
        <v>0</v>
      </c>
      <c r="BW11" s="40">
        <f>AVERAGE(BR11:BV11)</f>
        <v>0</v>
      </c>
      <c r="BX11" s="108"/>
      <c r="BY11" s="30"/>
      <c r="BZ11" s="14">
        <f>$D$11</f>
        <v>0</v>
      </c>
      <c r="CA11" s="6">
        <f t="shared" ref="CA11:CD11" si="36">$D$11</f>
        <v>0</v>
      </c>
      <c r="CB11" s="6">
        <f t="shared" si="36"/>
        <v>0</v>
      </c>
      <c r="CC11" s="6">
        <f t="shared" si="36"/>
        <v>0</v>
      </c>
      <c r="CD11" s="6">
        <f t="shared" si="36"/>
        <v>0</v>
      </c>
      <c r="CE11" s="40">
        <f>AVERAGE(BZ11:CD11)</f>
        <v>0</v>
      </c>
      <c r="CF11" s="108"/>
      <c r="CG11" s="30"/>
      <c r="CH11" s="9">
        <f>$D$11</f>
        <v>0</v>
      </c>
      <c r="CI11" s="5">
        <f t="shared" ref="CI11:CL11" si="37">$D$11</f>
        <v>0</v>
      </c>
      <c r="CJ11" s="5">
        <f t="shared" si="37"/>
        <v>0</v>
      </c>
      <c r="CK11" s="5">
        <f t="shared" si="37"/>
        <v>0</v>
      </c>
      <c r="CL11" s="5">
        <f t="shared" si="37"/>
        <v>0</v>
      </c>
      <c r="CM11" s="33">
        <f>AVERAGE(CH11:CL11)</f>
        <v>0</v>
      </c>
      <c r="CN11" s="109"/>
      <c r="CO11" s="37"/>
      <c r="CP11" s="14">
        <f>$D$11</f>
        <v>0</v>
      </c>
      <c r="CQ11" s="6">
        <f t="shared" ref="CQ11:CT11" si="38">$D$11</f>
        <v>0</v>
      </c>
      <c r="CR11" s="6">
        <f t="shared" si="38"/>
        <v>0</v>
      </c>
      <c r="CS11" s="6">
        <f t="shared" si="38"/>
        <v>0</v>
      </c>
      <c r="CT11" s="6">
        <f t="shared" si="38"/>
        <v>0</v>
      </c>
      <c r="CU11" s="40">
        <f>AVERAGE(CP11:CT11)</f>
        <v>0</v>
      </c>
      <c r="CV11" s="108"/>
      <c r="CW11" s="30"/>
      <c r="CX11" s="9">
        <f>$D$11</f>
        <v>0</v>
      </c>
      <c r="CY11" s="5">
        <f t="shared" ref="CY11:DB11" si="39">$D$11</f>
        <v>0</v>
      </c>
      <c r="CZ11" s="5">
        <f t="shared" si="39"/>
        <v>0</v>
      </c>
      <c r="DA11" s="5">
        <f t="shared" si="39"/>
        <v>0</v>
      </c>
      <c r="DB11" s="5">
        <f t="shared" si="39"/>
        <v>0</v>
      </c>
      <c r="DC11" s="33">
        <f>AVERAGE(CX11:DB11)</f>
        <v>0</v>
      </c>
      <c r="DD11" s="109"/>
      <c r="DE11" s="37"/>
      <c r="DF11" s="14">
        <f>$D$11</f>
        <v>0</v>
      </c>
      <c r="DG11" s="6">
        <f t="shared" ref="DG11:DJ11" si="40">$D$11</f>
        <v>0</v>
      </c>
      <c r="DH11" s="6">
        <f t="shared" si="40"/>
        <v>0</v>
      </c>
      <c r="DI11" s="6">
        <f t="shared" si="40"/>
        <v>0</v>
      </c>
      <c r="DJ11" s="6">
        <f t="shared" si="40"/>
        <v>0</v>
      </c>
      <c r="DK11" s="40">
        <f>AVERAGE(DF11:DJ11)</f>
        <v>0</v>
      </c>
      <c r="DL11" s="108"/>
      <c r="DM11" s="113"/>
    </row>
    <row r="12" spans="1:117">
      <c r="A12" s="114" t="s">
        <v>8</v>
      </c>
      <c r="B12" s="115"/>
      <c r="C12" s="135"/>
      <c r="D12" s="44" t="e">
        <f>AVERAGE(K12,S12,AA12,AI12,AQ12,AY12,BG12,BO12,BW12,CM12,CU12,DC12,DK12)</f>
        <v>#DIV/0!</v>
      </c>
      <c r="E12" s="116"/>
      <c r="F12" s="15" t="e">
        <f>(F10*100)/F11</f>
        <v>#DIV/0!</v>
      </c>
      <c r="G12" s="7" t="e">
        <f t="shared" ref="G12:K12" si="41">(G10*100)/G11</f>
        <v>#DIV/0!</v>
      </c>
      <c r="H12" s="7" t="e">
        <f t="shared" si="41"/>
        <v>#DIV/0!</v>
      </c>
      <c r="I12" s="7" t="e">
        <f t="shared" si="41"/>
        <v>#DIV/0!</v>
      </c>
      <c r="J12" s="7" t="e">
        <f t="shared" si="41"/>
        <v>#DIV/0!</v>
      </c>
      <c r="K12" s="40" t="e">
        <f t="shared" si="41"/>
        <v>#DIV/0!</v>
      </c>
      <c r="L12" s="108"/>
      <c r="M12" s="42"/>
      <c r="N12" s="26" t="e">
        <f>(N10*100)/N11</f>
        <v>#DIV/0!</v>
      </c>
      <c r="O12" s="27" t="e">
        <f t="shared" ref="O12:S12" si="42">(O10*100)/O11</f>
        <v>#DIV/0!</v>
      </c>
      <c r="P12" s="27" t="e">
        <f t="shared" si="42"/>
        <v>#DIV/0!</v>
      </c>
      <c r="Q12" s="27" t="e">
        <f t="shared" si="42"/>
        <v>#DIV/0!</v>
      </c>
      <c r="R12" s="27" t="e">
        <f t="shared" si="42"/>
        <v>#DIV/0!</v>
      </c>
      <c r="S12" s="33" t="e">
        <f t="shared" si="42"/>
        <v>#DIV/0!</v>
      </c>
      <c r="T12" s="109"/>
      <c r="U12" s="38"/>
      <c r="V12" s="28" t="e">
        <f>(V10*100)/V11</f>
        <v>#DIV/0!</v>
      </c>
      <c r="W12" s="29" t="e">
        <f t="shared" ref="W12:Z12" si="43">(W10*100)/W11</f>
        <v>#DIV/0!</v>
      </c>
      <c r="X12" s="29" t="e">
        <f t="shared" si="43"/>
        <v>#DIV/0!</v>
      </c>
      <c r="Y12" s="29" t="e">
        <f t="shared" si="43"/>
        <v>#DIV/0!</v>
      </c>
      <c r="Z12" s="29" t="e">
        <f t="shared" si="43"/>
        <v>#DIV/0!</v>
      </c>
      <c r="AA12" s="40" t="e">
        <f>(AA10*100)/AA11</f>
        <v>#DIV/0!</v>
      </c>
      <c r="AB12" s="108"/>
      <c r="AC12" s="42"/>
      <c r="AD12" s="26" t="e">
        <f>(AD10*100)/AD11</f>
        <v>#DIV/0!</v>
      </c>
      <c r="AE12" s="27" t="e">
        <f t="shared" ref="AE12:AI12" si="44">(AE10*100)/AE11</f>
        <v>#DIV/0!</v>
      </c>
      <c r="AF12" s="27" t="e">
        <f t="shared" si="44"/>
        <v>#DIV/0!</v>
      </c>
      <c r="AG12" s="27" t="e">
        <f t="shared" si="44"/>
        <v>#DIV/0!</v>
      </c>
      <c r="AH12" s="27" t="e">
        <f t="shared" si="44"/>
        <v>#DIV/0!</v>
      </c>
      <c r="AI12" s="33" t="e">
        <f t="shared" si="44"/>
        <v>#DIV/0!</v>
      </c>
      <c r="AJ12" s="109"/>
      <c r="AK12" s="38"/>
      <c r="AL12" s="28" t="e">
        <f>(AL10*100)/AL11</f>
        <v>#DIV/0!</v>
      </c>
      <c r="AM12" s="29" t="e">
        <f t="shared" ref="AM12:AP12" si="45">(AM10*100)/AM11</f>
        <v>#DIV/0!</v>
      </c>
      <c r="AN12" s="29" t="e">
        <f t="shared" si="45"/>
        <v>#DIV/0!</v>
      </c>
      <c r="AO12" s="29" t="e">
        <f t="shared" si="45"/>
        <v>#DIV/0!</v>
      </c>
      <c r="AP12" s="29" t="e">
        <f t="shared" si="45"/>
        <v>#DIV/0!</v>
      </c>
      <c r="AQ12" s="40" t="e">
        <f>(AQ10*100)/AQ11</f>
        <v>#DIV/0!</v>
      </c>
      <c r="AR12" s="108"/>
      <c r="AS12" s="42"/>
      <c r="AT12" s="26" t="e">
        <f>(AT10*100)/AT11</f>
        <v>#DIV/0!</v>
      </c>
      <c r="AU12" s="27" t="e">
        <f t="shared" ref="AU12:AY12" si="46">(AU10*100)/AU11</f>
        <v>#DIV/0!</v>
      </c>
      <c r="AV12" s="27" t="e">
        <f t="shared" si="46"/>
        <v>#DIV/0!</v>
      </c>
      <c r="AW12" s="27" t="e">
        <f t="shared" si="46"/>
        <v>#DIV/0!</v>
      </c>
      <c r="AX12" s="27" t="e">
        <f t="shared" si="46"/>
        <v>#DIV/0!</v>
      </c>
      <c r="AY12" s="33" t="e">
        <f t="shared" si="46"/>
        <v>#DIV/0!</v>
      </c>
      <c r="AZ12" s="109"/>
      <c r="BA12" s="38"/>
      <c r="BB12" s="28" t="e">
        <f>(BB10*100)/BB11</f>
        <v>#DIV/0!</v>
      </c>
      <c r="BC12" s="29" t="e">
        <f t="shared" ref="BC12:BF12" si="47">(BC10*100)/BC11</f>
        <v>#DIV/0!</v>
      </c>
      <c r="BD12" s="29" t="e">
        <f t="shared" si="47"/>
        <v>#DIV/0!</v>
      </c>
      <c r="BE12" s="29" t="e">
        <f t="shared" si="47"/>
        <v>#DIV/0!</v>
      </c>
      <c r="BF12" s="29" t="e">
        <f t="shared" si="47"/>
        <v>#DIV/0!</v>
      </c>
      <c r="BG12" s="40" t="e">
        <f>(BG10*100)/BG11</f>
        <v>#DIV/0!</v>
      </c>
      <c r="BH12" s="108"/>
      <c r="BI12" s="42"/>
      <c r="BJ12" s="26" t="e">
        <f>(BJ10*100)/BJ11</f>
        <v>#DIV/0!</v>
      </c>
      <c r="BK12" s="27" t="e">
        <f t="shared" ref="BK12:BO12" si="48">(BK10*100)/BK11</f>
        <v>#DIV/0!</v>
      </c>
      <c r="BL12" s="27" t="e">
        <f t="shared" si="48"/>
        <v>#DIV/0!</v>
      </c>
      <c r="BM12" s="27" t="e">
        <f t="shared" si="48"/>
        <v>#DIV/0!</v>
      </c>
      <c r="BN12" s="27" t="e">
        <f t="shared" si="48"/>
        <v>#DIV/0!</v>
      </c>
      <c r="BO12" s="33" t="e">
        <f t="shared" si="48"/>
        <v>#DIV/0!</v>
      </c>
      <c r="BP12" s="109"/>
      <c r="BQ12" s="38"/>
      <c r="BR12" s="28" t="e">
        <f>(BR10*100)/BR11</f>
        <v>#DIV/0!</v>
      </c>
      <c r="BS12" s="29" t="e">
        <f t="shared" ref="BS12:BV12" si="49">(BS10*100)/BS11</f>
        <v>#DIV/0!</v>
      </c>
      <c r="BT12" s="29" t="e">
        <f t="shared" si="49"/>
        <v>#DIV/0!</v>
      </c>
      <c r="BU12" s="29" t="e">
        <f t="shared" si="49"/>
        <v>#DIV/0!</v>
      </c>
      <c r="BV12" s="29" t="e">
        <f t="shared" si="49"/>
        <v>#DIV/0!</v>
      </c>
      <c r="BW12" s="40" t="e">
        <f>(BW10*100)/BW11</f>
        <v>#DIV/0!</v>
      </c>
      <c r="BX12" s="108"/>
      <c r="BY12" s="42"/>
      <c r="BZ12" s="28" t="e">
        <f>(BZ10*100)/BZ11</f>
        <v>#DIV/0!</v>
      </c>
      <c r="CA12" s="29" t="e">
        <f t="shared" ref="CA12:CD12" si="50">(CA10*100)/CA11</f>
        <v>#DIV/0!</v>
      </c>
      <c r="CB12" s="29" t="e">
        <f t="shared" si="50"/>
        <v>#DIV/0!</v>
      </c>
      <c r="CC12" s="29" t="e">
        <f t="shared" si="50"/>
        <v>#DIV/0!</v>
      </c>
      <c r="CD12" s="29" t="e">
        <f t="shared" si="50"/>
        <v>#DIV/0!</v>
      </c>
      <c r="CE12" s="40" t="e">
        <f>(CE10*100)/CE11</f>
        <v>#DIV/0!</v>
      </c>
      <c r="CF12" s="108"/>
      <c r="CG12" s="42"/>
      <c r="CH12" s="26" t="e">
        <f>(CH10*100)/CH11</f>
        <v>#DIV/0!</v>
      </c>
      <c r="CI12" s="27" t="e">
        <f t="shared" ref="CI12:CM12" si="51">(CI10*100)/CI11</f>
        <v>#DIV/0!</v>
      </c>
      <c r="CJ12" s="27" t="e">
        <f t="shared" si="51"/>
        <v>#DIV/0!</v>
      </c>
      <c r="CK12" s="27" t="e">
        <f t="shared" si="51"/>
        <v>#DIV/0!</v>
      </c>
      <c r="CL12" s="27" t="e">
        <f t="shared" si="51"/>
        <v>#DIV/0!</v>
      </c>
      <c r="CM12" s="33" t="e">
        <f t="shared" si="51"/>
        <v>#DIV/0!</v>
      </c>
      <c r="CN12" s="109"/>
      <c r="CO12" s="38"/>
      <c r="CP12" s="28" t="e">
        <f>(CP10*100)/CP11</f>
        <v>#DIV/0!</v>
      </c>
      <c r="CQ12" s="29" t="e">
        <f t="shared" ref="CQ12:CT12" si="52">(CQ10*100)/CQ11</f>
        <v>#DIV/0!</v>
      </c>
      <c r="CR12" s="29" t="e">
        <f t="shared" si="52"/>
        <v>#DIV/0!</v>
      </c>
      <c r="CS12" s="29" t="e">
        <f t="shared" si="52"/>
        <v>#DIV/0!</v>
      </c>
      <c r="CT12" s="29" t="e">
        <f t="shared" si="52"/>
        <v>#DIV/0!</v>
      </c>
      <c r="CU12" s="40" t="e">
        <f>(CU10*100)/CU11</f>
        <v>#DIV/0!</v>
      </c>
      <c r="CV12" s="108"/>
      <c r="CW12" s="42"/>
      <c r="CX12" s="26" t="e">
        <f>(CX10*100)/CX11</f>
        <v>#DIV/0!</v>
      </c>
      <c r="CY12" s="27" t="e">
        <f t="shared" ref="CY12:DC12" si="53">(CY10*100)/CY11</f>
        <v>#DIV/0!</v>
      </c>
      <c r="CZ12" s="27" t="e">
        <f t="shared" si="53"/>
        <v>#DIV/0!</v>
      </c>
      <c r="DA12" s="27" t="e">
        <f t="shared" si="53"/>
        <v>#DIV/0!</v>
      </c>
      <c r="DB12" s="27" t="e">
        <f t="shared" si="53"/>
        <v>#DIV/0!</v>
      </c>
      <c r="DC12" s="33" t="e">
        <f t="shared" si="53"/>
        <v>#DIV/0!</v>
      </c>
      <c r="DD12" s="109"/>
      <c r="DE12" s="38"/>
      <c r="DF12" s="28" t="e">
        <f>(DF10*100)/DF11</f>
        <v>#DIV/0!</v>
      </c>
      <c r="DG12" s="29" t="e">
        <f t="shared" ref="DG12:DJ12" si="54">(DG10*100)/DG11</f>
        <v>#DIV/0!</v>
      </c>
      <c r="DH12" s="29" t="e">
        <f t="shared" si="54"/>
        <v>#DIV/0!</v>
      </c>
      <c r="DI12" s="29" t="e">
        <f t="shared" si="54"/>
        <v>#DIV/0!</v>
      </c>
      <c r="DJ12" s="29" t="e">
        <f t="shared" si="54"/>
        <v>#DIV/0!</v>
      </c>
      <c r="DK12" s="40" t="e">
        <f>(DK10*100)/DK11</f>
        <v>#DIV/0!</v>
      </c>
      <c r="DL12" s="108"/>
      <c r="DM12" s="117"/>
    </row>
    <row r="13" spans="1:117">
      <c r="A13" s="113" t="s">
        <v>15</v>
      </c>
      <c r="B13" s="65"/>
      <c r="C13" s="65"/>
      <c r="D13" s="112"/>
      <c r="E13" s="112"/>
      <c r="F13" s="14">
        <f>COUNT(F7:F7)</f>
        <v>0</v>
      </c>
      <c r="G13" s="6">
        <f>COUNT(G7:G7)</f>
        <v>0</v>
      </c>
      <c r="H13" s="6">
        <f>COUNT(H7:H7)</f>
        <v>0</v>
      </c>
      <c r="I13" s="6">
        <f>COUNT(I7:I7)</f>
        <v>0</v>
      </c>
      <c r="J13" s="6">
        <f>COUNT(J7:J7)</f>
        <v>0</v>
      </c>
      <c r="K13" s="13"/>
      <c r="L13" s="16"/>
      <c r="M13" s="30"/>
      <c r="N13" s="9">
        <f>COUNT(N7:N7)</f>
        <v>0</v>
      </c>
      <c r="O13" s="5">
        <f>COUNT(O7:O7)</f>
        <v>0</v>
      </c>
      <c r="P13" s="5">
        <f>COUNT(P7:P7)</f>
        <v>0</v>
      </c>
      <c r="Q13" s="5">
        <f>COUNT(Q7:Q7)</f>
        <v>0</v>
      </c>
      <c r="R13" s="5">
        <f>COUNT(R7:R7)</f>
        <v>0</v>
      </c>
      <c r="S13" s="8"/>
      <c r="T13" s="10"/>
      <c r="U13" s="37"/>
      <c r="V13" s="14">
        <f>COUNT(V7:V7)</f>
        <v>0</v>
      </c>
      <c r="W13" s="6">
        <f>COUNT(W7:W7)</f>
        <v>0</v>
      </c>
      <c r="X13" s="6">
        <f>COUNT(X7:X7)</f>
        <v>0</v>
      </c>
      <c r="Y13" s="6">
        <f>COUNT(Y7:Y7)</f>
        <v>0</v>
      </c>
      <c r="Z13" s="6">
        <f>COUNT(Z7:Z7)</f>
        <v>0</v>
      </c>
      <c r="AA13" s="13"/>
      <c r="AB13" s="16"/>
      <c r="AC13" s="30"/>
      <c r="AD13" s="9">
        <f>COUNT(AD7:AD7)</f>
        <v>0</v>
      </c>
      <c r="AE13" s="5">
        <f>COUNT(AE7:AE7)</f>
        <v>0</v>
      </c>
      <c r="AF13" s="5">
        <f>COUNT(AF7:AF7)</f>
        <v>0</v>
      </c>
      <c r="AG13" s="5">
        <f>COUNT(AG7:AG7)</f>
        <v>0</v>
      </c>
      <c r="AH13" s="5">
        <f>COUNT(AH7:AH7)</f>
        <v>0</v>
      </c>
      <c r="AI13" s="8"/>
      <c r="AJ13" s="10"/>
      <c r="AK13" s="37"/>
      <c r="AL13" s="14">
        <f>COUNT(AL7:AL7)</f>
        <v>0</v>
      </c>
      <c r="AM13" s="6">
        <f>COUNT(AM7:AM7)</f>
        <v>0</v>
      </c>
      <c r="AN13" s="6">
        <f>COUNT(AN7:AN7)</f>
        <v>0</v>
      </c>
      <c r="AO13" s="6">
        <f>COUNT(AO7:AO7)</f>
        <v>0</v>
      </c>
      <c r="AP13" s="6">
        <f>COUNT(AP7:AP7)</f>
        <v>0</v>
      </c>
      <c r="AQ13" s="13"/>
      <c r="AR13" s="16"/>
      <c r="AS13" s="30"/>
      <c r="AT13" s="9">
        <f>COUNT(AT7:AT7)</f>
        <v>0</v>
      </c>
      <c r="AU13" s="5">
        <f>COUNT(AU7:AU7)</f>
        <v>0</v>
      </c>
      <c r="AV13" s="5">
        <f>COUNT(AV7:AV7)</f>
        <v>0</v>
      </c>
      <c r="AW13" s="5">
        <f>COUNT(AW7:AW7)</f>
        <v>0</v>
      </c>
      <c r="AX13" s="5">
        <f>COUNT(AX7:AX7)</f>
        <v>0</v>
      </c>
      <c r="AY13" s="8"/>
      <c r="AZ13" s="10"/>
      <c r="BA13" s="37"/>
      <c r="BB13" s="14">
        <f>COUNT(BB7:BB7)</f>
        <v>0</v>
      </c>
      <c r="BC13" s="6">
        <f>COUNT(BC7:BC7)</f>
        <v>0</v>
      </c>
      <c r="BD13" s="6">
        <f>COUNT(BD7:BD7)</f>
        <v>0</v>
      </c>
      <c r="BE13" s="6">
        <f>COUNT(BE7:BE7)</f>
        <v>0</v>
      </c>
      <c r="BF13" s="6">
        <f>COUNT(BF7:BF7)</f>
        <v>0</v>
      </c>
      <c r="BG13" s="13"/>
      <c r="BH13" s="16"/>
      <c r="BI13" s="30"/>
      <c r="BJ13" s="9">
        <f>COUNT(BJ7:BJ7)</f>
        <v>0</v>
      </c>
      <c r="BK13" s="5">
        <f>COUNT(BK7:BK7)</f>
        <v>0</v>
      </c>
      <c r="BL13" s="5">
        <f>COUNT(BL7:BL7)</f>
        <v>0</v>
      </c>
      <c r="BM13" s="5">
        <f>COUNT(BM7:BM7)</f>
        <v>0</v>
      </c>
      <c r="BN13" s="5">
        <f>COUNT(BN7:BN7)</f>
        <v>0</v>
      </c>
      <c r="BO13" s="8"/>
      <c r="BP13" s="10"/>
      <c r="BQ13" s="37"/>
      <c r="BR13" s="14">
        <f>COUNT(BR7:BR7)</f>
        <v>0</v>
      </c>
      <c r="BS13" s="6">
        <f>COUNT(BS7:BS7)</f>
        <v>0</v>
      </c>
      <c r="BT13" s="6">
        <f>COUNT(BT7:BT7)</f>
        <v>0</v>
      </c>
      <c r="BU13" s="6">
        <f>COUNT(BU7:BU7)</f>
        <v>0</v>
      </c>
      <c r="BV13" s="6">
        <f>COUNT(BV7:BV7)</f>
        <v>0</v>
      </c>
      <c r="BW13" s="13"/>
      <c r="BX13" s="16"/>
      <c r="BY13" s="30"/>
      <c r="BZ13" s="14">
        <f>COUNT(BZ7:BZ7)</f>
        <v>0</v>
      </c>
      <c r="CA13" s="6">
        <f>COUNT(CA7:CA7)</f>
        <v>0</v>
      </c>
      <c r="CB13" s="6">
        <f>COUNT(CB7:CB7)</f>
        <v>0</v>
      </c>
      <c r="CC13" s="6">
        <f>COUNT(CC7:CC7)</f>
        <v>0</v>
      </c>
      <c r="CD13" s="6">
        <f>COUNT(CD7:CD7)</f>
        <v>0</v>
      </c>
      <c r="CE13" s="13"/>
      <c r="CF13" s="16"/>
      <c r="CG13" s="30"/>
      <c r="CH13" s="9">
        <f>COUNT(CH7:CH7)</f>
        <v>0</v>
      </c>
      <c r="CI13" s="5">
        <f>COUNT(CI7:CI7)</f>
        <v>0</v>
      </c>
      <c r="CJ13" s="5">
        <f>COUNT(CJ7:CJ7)</f>
        <v>0</v>
      </c>
      <c r="CK13" s="5">
        <f>COUNT(CK7:CK7)</f>
        <v>0</v>
      </c>
      <c r="CL13" s="5">
        <f>COUNT(CL7:CL7)</f>
        <v>0</v>
      </c>
      <c r="CM13" s="8"/>
      <c r="CN13" s="10"/>
      <c r="CO13" s="37"/>
      <c r="CP13" s="14">
        <f>COUNT(CP7:CP7)</f>
        <v>0</v>
      </c>
      <c r="CQ13" s="6">
        <f>COUNT(CQ7:CQ7)</f>
        <v>0</v>
      </c>
      <c r="CR13" s="6">
        <f>COUNT(CR7:CR7)</f>
        <v>0</v>
      </c>
      <c r="CS13" s="6">
        <f>COUNT(CS7:CS7)</f>
        <v>0</v>
      </c>
      <c r="CT13" s="6">
        <f>COUNT(CT7:CT7)</f>
        <v>0</v>
      </c>
      <c r="CU13" s="13"/>
      <c r="CV13" s="16"/>
      <c r="CW13" s="30"/>
      <c r="CX13" s="9">
        <f>COUNT(CX7:CX7)</f>
        <v>0</v>
      </c>
      <c r="CY13" s="5">
        <f>COUNT(CY7:CY7)</f>
        <v>0</v>
      </c>
      <c r="CZ13" s="5">
        <f>COUNT(CZ7:CZ7)</f>
        <v>0</v>
      </c>
      <c r="DA13" s="5">
        <f>COUNT(DA7:DA7)</f>
        <v>0</v>
      </c>
      <c r="DB13" s="5">
        <f>COUNT(DB7:DB7)</f>
        <v>0</v>
      </c>
      <c r="DC13" s="8"/>
      <c r="DD13" s="10"/>
      <c r="DE13" s="37"/>
      <c r="DF13" s="14">
        <f>COUNT(DF7:DF7)</f>
        <v>0</v>
      </c>
      <c r="DG13" s="6">
        <f>COUNT(DG7:DG7)</f>
        <v>0</v>
      </c>
      <c r="DH13" s="6">
        <f>COUNT(DH7:DH7)</f>
        <v>0</v>
      </c>
      <c r="DI13" s="6">
        <f>COUNT(DI7:DI7)</f>
        <v>0</v>
      </c>
      <c r="DJ13" s="6">
        <f>COUNT(DJ7:DJ7)</f>
        <v>0</v>
      </c>
      <c r="DK13" s="13"/>
      <c r="DL13" s="118"/>
      <c r="DM13" s="113"/>
    </row>
    <row r="14" spans="1:117">
      <c r="A14" s="113" t="s">
        <v>16</v>
      </c>
      <c r="D14" s="119"/>
      <c r="E14" s="119"/>
      <c r="F14" s="36">
        <f>COUNTIF(F7:F7,1.5)</f>
        <v>0</v>
      </c>
      <c r="G14" s="35">
        <f>COUNTIF(G7:G7,1.5)</f>
        <v>0</v>
      </c>
      <c r="H14" s="35">
        <f>COUNTIF(H7:H7,1.5)</f>
        <v>0</v>
      </c>
      <c r="I14" s="35">
        <f>COUNTIF(I7:I7,1.5)</f>
        <v>0</v>
      </c>
      <c r="J14" s="35">
        <f>COUNTIF(J7:J7,1.5)</f>
        <v>0</v>
      </c>
      <c r="K14" s="17"/>
      <c r="L14" s="18"/>
      <c r="M14" s="41"/>
      <c r="N14" s="34">
        <f>COUNTIF(N7:N7,1.5)</f>
        <v>0</v>
      </c>
      <c r="O14" s="32">
        <f>COUNTIF(O7:O7,1.5)</f>
        <v>0</v>
      </c>
      <c r="P14" s="32">
        <f>COUNTIF(P7:P7,1.5)</f>
        <v>0</v>
      </c>
      <c r="Q14" s="32">
        <f>COUNTIF(Q7:Q7,1.5)</f>
        <v>0</v>
      </c>
      <c r="R14" s="32">
        <f>COUNTIF(R7:R7,1.5)</f>
        <v>0</v>
      </c>
      <c r="S14" s="11"/>
      <c r="T14" s="12"/>
      <c r="U14" s="39"/>
      <c r="V14" s="36">
        <f>COUNTIF(V7:V7,1.5)</f>
        <v>0</v>
      </c>
      <c r="W14" s="35">
        <f>COUNTIF(W7:W7,1.5)</f>
        <v>0</v>
      </c>
      <c r="X14" s="35">
        <f>COUNTIF(X7:X7,1.5)</f>
        <v>0</v>
      </c>
      <c r="Y14" s="35">
        <f>COUNTIF(Y7:Y7,1.5)</f>
        <v>0</v>
      </c>
      <c r="Z14" s="35">
        <f>COUNTIF(Z7:Z7,1.5)</f>
        <v>0</v>
      </c>
      <c r="AA14" s="17"/>
      <c r="AB14" s="18"/>
      <c r="AC14" s="41"/>
      <c r="AD14" s="34">
        <f>COUNTIF(AD7:AD7,1.5)</f>
        <v>0</v>
      </c>
      <c r="AE14" s="32">
        <f>COUNTIF(AE7:AE7,1.5)</f>
        <v>0</v>
      </c>
      <c r="AF14" s="32">
        <f>COUNTIF(AF7:AF7,1.5)</f>
        <v>0</v>
      </c>
      <c r="AG14" s="32">
        <f>COUNTIF(AG7:AG7,1.5)</f>
        <v>0</v>
      </c>
      <c r="AH14" s="32">
        <f>COUNTIF(AH7:AH7,1.5)</f>
        <v>0</v>
      </c>
      <c r="AI14" s="11"/>
      <c r="AJ14" s="12"/>
      <c r="AK14" s="39"/>
      <c r="AL14" s="36">
        <f>COUNTIF(AL7:AL7,1.5)</f>
        <v>0</v>
      </c>
      <c r="AM14" s="35">
        <f>COUNTIF(AM7:AM7,1.5)</f>
        <v>0</v>
      </c>
      <c r="AN14" s="35">
        <f>COUNTIF(AN7:AN7,1.5)</f>
        <v>0</v>
      </c>
      <c r="AO14" s="35">
        <f>COUNTIF(AO7:AO7,1.5)</f>
        <v>0</v>
      </c>
      <c r="AP14" s="35">
        <f>COUNTIF(AP7:AP7,1.5)</f>
        <v>0</v>
      </c>
      <c r="AQ14" s="17"/>
      <c r="AR14" s="18"/>
      <c r="AS14" s="41"/>
      <c r="AT14" s="34">
        <f>COUNTIF(AT7:AT7,1.5)</f>
        <v>0</v>
      </c>
      <c r="AU14" s="32">
        <f>COUNTIF(AU7:AU7,1.5)</f>
        <v>0</v>
      </c>
      <c r="AV14" s="32">
        <f>COUNTIF(AV7:AV7,1.5)</f>
        <v>0</v>
      </c>
      <c r="AW14" s="32">
        <f>COUNTIF(AW7:AW7,1.5)</f>
        <v>0</v>
      </c>
      <c r="AX14" s="32">
        <f>COUNTIF(AX7:AX7,1.5)</f>
        <v>0</v>
      </c>
      <c r="AY14" s="11"/>
      <c r="AZ14" s="12"/>
      <c r="BA14" s="39"/>
      <c r="BB14" s="36">
        <f>COUNTIF(BB7:BB7,1.5)</f>
        <v>0</v>
      </c>
      <c r="BC14" s="35">
        <f>COUNTIF(BC7:BC7,1.5)</f>
        <v>0</v>
      </c>
      <c r="BD14" s="35">
        <f>COUNTIF(BD7:BD7,1.5)</f>
        <v>0</v>
      </c>
      <c r="BE14" s="35">
        <f>COUNTIF(BE7:BE7,1.5)</f>
        <v>0</v>
      </c>
      <c r="BF14" s="35">
        <f>COUNTIF(BF7:BF7,1.5)</f>
        <v>0</v>
      </c>
      <c r="BG14" s="17"/>
      <c r="BH14" s="18"/>
      <c r="BI14" s="41"/>
      <c r="BJ14" s="34">
        <f>COUNTIF(BJ7:BJ7,1.5)</f>
        <v>0</v>
      </c>
      <c r="BK14" s="32">
        <f>COUNTIF(BK7:BK7,1.5)</f>
        <v>0</v>
      </c>
      <c r="BL14" s="32">
        <f>COUNTIF(BL7:BL7,1.5)</f>
        <v>0</v>
      </c>
      <c r="BM14" s="32">
        <f>COUNTIF(BM7:BM7,1.5)</f>
        <v>0</v>
      </c>
      <c r="BN14" s="32">
        <f>COUNTIF(BN7:BN7,1.5)</f>
        <v>0</v>
      </c>
      <c r="BO14" s="11"/>
      <c r="BP14" s="12"/>
      <c r="BQ14" s="39"/>
      <c r="BR14" s="36">
        <f>COUNTIF(BR7:BR7,1.5)</f>
        <v>0</v>
      </c>
      <c r="BS14" s="35">
        <f>COUNTIF(BS7:BS7,1.5)</f>
        <v>0</v>
      </c>
      <c r="BT14" s="35">
        <f>COUNTIF(BT7:BT7,1.5)</f>
        <v>0</v>
      </c>
      <c r="BU14" s="35">
        <f>COUNTIF(BU7:BU7,1.5)</f>
        <v>0</v>
      </c>
      <c r="BV14" s="35">
        <f>COUNTIF(BV7:BV7,1.5)</f>
        <v>0</v>
      </c>
      <c r="BW14" s="17"/>
      <c r="BX14" s="18"/>
      <c r="BY14" s="41"/>
      <c r="BZ14" s="36">
        <f>COUNTIF(BZ7:BZ7,1.5)</f>
        <v>0</v>
      </c>
      <c r="CA14" s="35">
        <f>COUNTIF(CA7:CA7,1.5)</f>
        <v>0</v>
      </c>
      <c r="CB14" s="35">
        <f>COUNTIF(CB7:CB7,1.5)</f>
        <v>0</v>
      </c>
      <c r="CC14" s="35">
        <f>COUNTIF(CC7:CC7,1.5)</f>
        <v>0</v>
      </c>
      <c r="CD14" s="35">
        <f>COUNTIF(CD7:CD7,1.5)</f>
        <v>0</v>
      </c>
      <c r="CE14" s="17"/>
      <c r="CF14" s="18"/>
      <c r="CG14" s="41"/>
      <c r="CH14" s="34">
        <f>COUNTIF(CH7:CH7,1.5)</f>
        <v>0</v>
      </c>
      <c r="CI14" s="32">
        <f>COUNTIF(CI7:CI7,1.5)</f>
        <v>0</v>
      </c>
      <c r="CJ14" s="32">
        <f>COUNTIF(CJ7:CJ7,1.5)</f>
        <v>0</v>
      </c>
      <c r="CK14" s="32">
        <f>COUNTIF(CK7:CK7,1.5)</f>
        <v>0</v>
      </c>
      <c r="CL14" s="32">
        <f>COUNTIF(CL7:CL7,1.5)</f>
        <v>0</v>
      </c>
      <c r="CM14" s="11"/>
      <c r="CN14" s="12"/>
      <c r="CO14" s="39"/>
      <c r="CP14" s="36">
        <f>COUNTIF(CP7:CP7,1.5)</f>
        <v>0</v>
      </c>
      <c r="CQ14" s="35">
        <f>COUNTIF(CQ7:CQ7,1.5)</f>
        <v>0</v>
      </c>
      <c r="CR14" s="35">
        <f>COUNTIF(CR7:CR7,1.5)</f>
        <v>0</v>
      </c>
      <c r="CS14" s="35">
        <f>COUNTIF(CS7:CS7,1.5)</f>
        <v>0</v>
      </c>
      <c r="CT14" s="35">
        <f>COUNTIF(CT7:CT7,1.5)</f>
        <v>0</v>
      </c>
      <c r="CU14" s="17"/>
      <c r="CV14" s="18"/>
      <c r="CW14" s="41"/>
      <c r="CX14" s="34">
        <f>COUNTIF(CX7:CX7,1.5)</f>
        <v>0</v>
      </c>
      <c r="CY14" s="32">
        <f>COUNTIF(CY7:CY7,1.5)</f>
        <v>0</v>
      </c>
      <c r="CZ14" s="32">
        <f>COUNTIF(CZ7:CZ7,1.5)</f>
        <v>0</v>
      </c>
      <c r="DA14" s="32">
        <f>COUNTIF(DA7:DA7,1.5)</f>
        <v>0</v>
      </c>
      <c r="DB14" s="32">
        <f>COUNTIF(DB7:DB7,1.5)</f>
        <v>0</v>
      </c>
      <c r="DC14" s="11"/>
      <c r="DD14" s="12"/>
      <c r="DE14" s="39"/>
      <c r="DF14" s="36">
        <f>COUNTIF(DF7:DF7,1.5)</f>
        <v>0</v>
      </c>
      <c r="DG14" s="35">
        <f>COUNTIF(DG7:DG7,1.5)</f>
        <v>0</v>
      </c>
      <c r="DH14" s="35">
        <f>COUNTIF(DH7:DH7,1.5)</f>
        <v>0</v>
      </c>
      <c r="DI14" s="35">
        <f>COUNTIF(DI7:DI7,1.5)</f>
        <v>0</v>
      </c>
      <c r="DJ14" s="35">
        <f>COUNTIF(DJ7:DJ7,1.5)</f>
        <v>0</v>
      </c>
      <c r="DK14" s="17"/>
      <c r="DL14" s="18"/>
      <c r="DM14" s="41"/>
    </row>
    <row r="15" spans="1:117" ht="13.5" thickBot="1">
      <c r="A15" s="122"/>
      <c r="B15" s="123"/>
      <c r="C15" s="123"/>
      <c r="D15" s="124"/>
      <c r="E15" s="119"/>
      <c r="F15" s="125"/>
      <c r="G15" s="126"/>
      <c r="H15" s="126"/>
      <c r="I15" s="126"/>
      <c r="J15" s="126"/>
      <c r="K15" s="126"/>
      <c r="L15" s="127"/>
      <c r="M15" s="120"/>
      <c r="N15" s="128"/>
      <c r="O15" s="129"/>
      <c r="P15" s="129"/>
      <c r="Q15" s="129"/>
      <c r="R15" s="129"/>
      <c r="S15" s="129"/>
      <c r="T15" s="130"/>
      <c r="U15" s="121"/>
      <c r="V15" s="131"/>
      <c r="W15" s="126"/>
      <c r="X15" s="126"/>
      <c r="Y15" s="126"/>
      <c r="Z15" s="126"/>
      <c r="AA15" s="126"/>
      <c r="AB15" s="127"/>
      <c r="AC15" s="120"/>
      <c r="AD15" s="128"/>
      <c r="AE15" s="129"/>
      <c r="AF15" s="129"/>
      <c r="AG15" s="129"/>
      <c r="AH15" s="129"/>
      <c r="AI15" s="129"/>
      <c r="AJ15" s="130"/>
      <c r="AK15" s="121"/>
      <c r="AL15" s="131"/>
      <c r="AM15" s="126"/>
      <c r="AN15" s="126"/>
      <c r="AO15" s="126"/>
      <c r="AP15" s="126"/>
      <c r="AQ15" s="126"/>
      <c r="AR15" s="127"/>
      <c r="AS15" s="120"/>
      <c r="AT15" s="128"/>
      <c r="AU15" s="129"/>
      <c r="AV15" s="129"/>
      <c r="AW15" s="129"/>
      <c r="AX15" s="129"/>
      <c r="AY15" s="129"/>
      <c r="AZ15" s="130"/>
      <c r="BA15" s="121"/>
      <c r="BB15" s="131"/>
      <c r="BC15" s="126"/>
      <c r="BD15" s="126"/>
      <c r="BE15" s="126"/>
      <c r="BF15" s="126"/>
      <c r="BG15" s="126"/>
      <c r="BH15" s="127"/>
      <c r="BI15" s="120"/>
      <c r="BJ15" s="128"/>
      <c r="BK15" s="129"/>
      <c r="BL15" s="129"/>
      <c r="BM15" s="129"/>
      <c r="BN15" s="129"/>
      <c r="BO15" s="129"/>
      <c r="BP15" s="130"/>
      <c r="BQ15" s="121"/>
      <c r="BR15" s="131"/>
      <c r="BS15" s="126"/>
      <c r="BT15" s="126"/>
      <c r="BU15" s="126"/>
      <c r="BV15" s="126"/>
      <c r="BW15" s="126"/>
      <c r="BX15" s="127"/>
      <c r="BY15" s="120"/>
      <c r="BZ15" s="131"/>
      <c r="CA15" s="126"/>
      <c r="CB15" s="126"/>
      <c r="CC15" s="126"/>
      <c r="CD15" s="126"/>
      <c r="CE15" s="126"/>
      <c r="CF15" s="127"/>
      <c r="CG15" s="120"/>
      <c r="CH15" s="128"/>
      <c r="CI15" s="129"/>
      <c r="CJ15" s="129"/>
      <c r="CK15" s="129"/>
      <c r="CL15" s="129"/>
      <c r="CM15" s="129"/>
      <c r="CN15" s="130"/>
      <c r="CO15" s="121"/>
      <c r="CP15" s="131"/>
      <c r="CQ15" s="126"/>
      <c r="CR15" s="126"/>
      <c r="CS15" s="126"/>
      <c r="CT15" s="126"/>
      <c r="CU15" s="126"/>
      <c r="CV15" s="127"/>
      <c r="CW15" s="120"/>
      <c r="CX15" s="128"/>
      <c r="CY15" s="129"/>
      <c r="CZ15" s="129"/>
      <c r="DA15" s="129"/>
      <c r="DB15" s="129"/>
      <c r="DC15" s="129"/>
      <c r="DD15" s="130"/>
      <c r="DE15" s="121"/>
      <c r="DF15" s="131"/>
      <c r="DG15" s="126"/>
      <c r="DH15" s="126"/>
      <c r="DI15" s="126"/>
      <c r="DJ15" s="126"/>
      <c r="DK15" s="126"/>
      <c r="DL15" s="127"/>
      <c r="DM15" s="120"/>
    </row>
  </sheetData>
  <sheetProtection formatCells="0" formatColumns="0" formatRows="0" insertRows="0" insertHyperlinks="0" sort="0"/>
  <mergeCells count="14">
    <mergeCell ref="DF4:DL4"/>
    <mergeCell ref="BB4:BH4"/>
    <mergeCell ref="BJ4:BP4"/>
    <mergeCell ref="BR4:BX4"/>
    <mergeCell ref="CH4:CN4"/>
    <mergeCell ref="CP4:CV4"/>
    <mergeCell ref="CX4:DD4"/>
    <mergeCell ref="BZ4:CF4"/>
    <mergeCell ref="AT4:AZ4"/>
    <mergeCell ref="F4:L4"/>
    <mergeCell ref="N4:T4"/>
    <mergeCell ref="V4:AB4"/>
    <mergeCell ref="AD4:AJ4"/>
    <mergeCell ref="AL4:AR4"/>
  </mergeCells>
  <conditionalFormatting sqref="F7:DM8">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N7 O7:S7 C7"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heetViews>
  <sheetFormatPr baseColWidth="10" defaultColWidth="10.85546875" defaultRowHeight="12.75"/>
  <cols>
    <col min="1" max="1" width="6.85546875" style="142" customWidth="1"/>
    <col min="2" max="2" width="36.42578125" style="142" customWidth="1"/>
    <col min="3" max="3" width="11" style="142" customWidth="1"/>
    <col min="4" max="4" width="17.5703125" style="142" customWidth="1"/>
    <col min="5" max="5" width="3.28515625" style="142" customWidth="1"/>
    <col min="6" max="6" width="6.85546875" style="142" bestFit="1" customWidth="1"/>
    <col min="7" max="7" width="32.140625" style="142" customWidth="1"/>
    <col min="8" max="8" width="10.42578125" style="142" customWidth="1"/>
    <col min="9" max="9" width="15.42578125" style="142" customWidth="1"/>
    <col min="10" max="10" width="2.85546875" style="142" customWidth="1"/>
    <col min="11" max="11" width="6.85546875" style="142" bestFit="1" customWidth="1"/>
    <col min="12" max="12" width="37.140625" style="142" customWidth="1"/>
    <col min="13" max="13" width="10.5703125" style="142" customWidth="1"/>
    <col min="14" max="14" width="11.140625" style="142" customWidth="1"/>
    <col min="15" max="15" width="3.28515625" style="142" customWidth="1"/>
    <col min="16" max="16" width="6.85546875" style="142" bestFit="1" customWidth="1"/>
    <col min="17" max="17" width="32.140625" style="142" customWidth="1"/>
    <col min="18" max="18" width="10.42578125" style="142" customWidth="1"/>
    <col min="19" max="19" width="15.42578125" style="142" customWidth="1"/>
    <col min="20" max="20" width="2.85546875" style="142" customWidth="1"/>
    <col min="21" max="21" width="6.85546875" style="142" bestFit="1" customWidth="1"/>
    <col min="22" max="22" width="37.140625" style="142" customWidth="1"/>
    <col min="23" max="23" width="10.5703125" style="142" customWidth="1"/>
    <col min="24" max="24" width="11.140625" style="142" customWidth="1"/>
    <col min="25" max="25" width="3.28515625" style="142" customWidth="1"/>
    <col min="26" max="26" width="6.85546875" style="142" bestFit="1" customWidth="1"/>
    <col min="27" max="27" width="32.140625" style="142" customWidth="1"/>
    <col min="28" max="28" width="10.42578125" style="142" customWidth="1"/>
    <col min="29" max="29" width="15.42578125" style="142" customWidth="1"/>
    <col min="30" max="30" width="2.85546875" style="142" customWidth="1"/>
    <col min="31" max="31" width="6.85546875" style="142" bestFit="1" customWidth="1"/>
    <col min="32" max="32" width="37.140625" style="142" customWidth="1"/>
    <col min="33" max="33" width="10.5703125" style="142" customWidth="1"/>
    <col min="34" max="34" width="11.140625" style="142" customWidth="1"/>
    <col min="35" max="16384" width="10.85546875" style="142"/>
  </cols>
  <sheetData>
    <row r="1" spans="1:5" ht="23.25">
      <c r="B1" s="143" t="s">
        <v>31</v>
      </c>
    </row>
    <row r="2" spans="1:5" ht="13.5" thickBot="1"/>
    <row r="3" spans="1:5">
      <c r="A3" s="144"/>
      <c r="B3" s="145"/>
      <c r="C3" s="145"/>
      <c r="D3" s="146"/>
      <c r="E3" s="147"/>
    </row>
    <row r="4" spans="1:5">
      <c r="A4" s="187"/>
      <c r="B4" s="188"/>
      <c r="C4" s="158" t="s">
        <v>30</v>
      </c>
      <c r="D4" s="157" t="s">
        <v>29</v>
      </c>
      <c r="E4" s="147"/>
    </row>
    <row r="5" spans="1:5">
      <c r="A5" s="148"/>
      <c r="B5" s="147"/>
      <c r="C5" s="147"/>
      <c r="D5" s="149"/>
      <c r="E5" s="147"/>
    </row>
    <row r="6" spans="1:5">
      <c r="A6" s="150" t="s">
        <v>40</v>
      </c>
      <c r="B6" s="159"/>
      <c r="C6" s="159"/>
      <c r="D6" s="151"/>
      <c r="E6" s="147"/>
    </row>
    <row r="7" spans="1:5">
      <c r="A7" s="150"/>
      <c r="B7" s="159"/>
      <c r="C7" s="159"/>
      <c r="D7" s="151"/>
      <c r="E7" s="147"/>
    </row>
    <row r="8" spans="1:5">
      <c r="A8" s="150"/>
      <c r="B8" s="160"/>
      <c r="C8" s="160"/>
      <c r="D8" s="153"/>
      <c r="E8" s="147"/>
    </row>
    <row r="9" spans="1:5">
      <c r="A9" s="148"/>
      <c r="B9" s="147"/>
      <c r="C9" s="147"/>
      <c r="D9" s="149"/>
      <c r="E9" s="147"/>
    </row>
    <row r="10" spans="1:5">
      <c r="A10" s="150" t="s">
        <v>41</v>
      </c>
      <c r="B10" s="161"/>
      <c r="C10" s="161"/>
      <c r="D10" s="152"/>
      <c r="E10" s="147"/>
    </row>
    <row r="11" spans="1:5">
      <c r="A11" s="150"/>
      <c r="B11" s="161"/>
      <c r="C11" s="161"/>
      <c r="D11" s="152"/>
      <c r="E11" s="147"/>
    </row>
    <row r="12" spans="1:5">
      <c r="A12" s="150"/>
      <c r="B12" s="161"/>
      <c r="C12" s="161"/>
      <c r="D12" s="152"/>
      <c r="E12" s="147"/>
    </row>
    <row r="13" spans="1:5">
      <c r="A13" s="162"/>
      <c r="B13" s="147"/>
      <c r="C13" s="147"/>
      <c r="D13" s="149"/>
      <c r="E13" s="147"/>
    </row>
    <row r="14" spans="1:5">
      <c r="A14" s="150" t="s">
        <v>42</v>
      </c>
      <c r="B14" s="161"/>
      <c r="C14" s="161"/>
      <c r="D14" s="152"/>
      <c r="E14" s="147"/>
    </row>
    <row r="15" spans="1:5">
      <c r="A15" s="150"/>
      <c r="B15" s="161"/>
      <c r="C15" s="161"/>
      <c r="D15" s="152"/>
      <c r="E15" s="147"/>
    </row>
    <row r="16" spans="1:5">
      <c r="A16" s="150"/>
      <c r="B16" s="161"/>
      <c r="C16" s="161"/>
      <c r="D16" s="152"/>
      <c r="E16" s="147"/>
    </row>
    <row r="17" spans="1:5">
      <c r="A17" s="148"/>
      <c r="B17" s="147"/>
      <c r="C17" s="147"/>
      <c r="D17" s="149"/>
      <c r="E17" s="147"/>
    </row>
    <row r="18" spans="1:5">
      <c r="A18" s="150" t="s">
        <v>43</v>
      </c>
      <c r="B18" s="159"/>
      <c r="C18" s="159"/>
      <c r="D18" s="151"/>
      <c r="E18" s="147"/>
    </row>
    <row r="19" spans="1:5">
      <c r="A19" s="150"/>
      <c r="B19" s="159"/>
      <c r="C19" s="159"/>
      <c r="D19" s="151"/>
      <c r="E19" s="147"/>
    </row>
    <row r="20" spans="1:5">
      <c r="A20" s="150"/>
      <c r="B20" s="160"/>
      <c r="C20" s="160"/>
      <c r="D20" s="153"/>
      <c r="E20" s="147"/>
    </row>
    <row r="21" spans="1:5">
      <c r="A21" s="148"/>
      <c r="B21" s="147"/>
      <c r="C21" s="147"/>
      <c r="D21" s="149"/>
      <c r="E21" s="147"/>
    </row>
    <row r="22" spans="1:5">
      <c r="A22" s="150" t="s">
        <v>25</v>
      </c>
      <c r="B22" s="161"/>
      <c r="C22" s="161"/>
      <c r="D22" s="152"/>
      <c r="E22" s="147"/>
    </row>
    <row r="23" spans="1:5">
      <c r="A23" s="150"/>
      <c r="B23" s="161"/>
      <c r="C23" s="161"/>
      <c r="D23" s="152"/>
      <c r="E23" s="147"/>
    </row>
    <row r="24" spans="1:5">
      <c r="A24" s="150"/>
      <c r="B24" s="161"/>
      <c r="C24" s="161"/>
      <c r="D24" s="152"/>
      <c r="E24" s="147"/>
    </row>
    <row r="25" spans="1:5">
      <c r="A25" s="148"/>
      <c r="B25" s="147"/>
      <c r="C25" s="147"/>
      <c r="D25" s="149"/>
      <c r="E25" s="147"/>
    </row>
    <row r="26" spans="1:5">
      <c r="A26" s="150" t="s">
        <v>26</v>
      </c>
      <c r="B26" s="161"/>
      <c r="C26" s="161"/>
      <c r="D26" s="152"/>
      <c r="E26" s="147"/>
    </row>
    <row r="27" spans="1:5">
      <c r="A27" s="150"/>
      <c r="B27" s="161"/>
      <c r="C27" s="161"/>
      <c r="D27" s="152"/>
      <c r="E27" s="147"/>
    </row>
    <row r="28" spans="1:5">
      <c r="A28" s="150"/>
      <c r="B28" s="161"/>
      <c r="C28" s="161"/>
      <c r="D28" s="152"/>
      <c r="E28" s="147"/>
    </row>
    <row r="29" spans="1:5">
      <c r="A29" s="148"/>
      <c r="B29" s="147"/>
      <c r="C29" s="147"/>
      <c r="D29" s="149"/>
      <c r="E29" s="147"/>
    </row>
    <row r="30" spans="1:5">
      <c r="A30" s="150" t="s">
        <v>27</v>
      </c>
      <c r="B30" s="161"/>
      <c r="C30" s="161"/>
      <c r="D30" s="152"/>
      <c r="E30" s="147"/>
    </row>
    <row r="31" spans="1:5">
      <c r="A31" s="150"/>
      <c r="B31" s="161"/>
      <c r="C31" s="161"/>
      <c r="D31" s="152"/>
      <c r="E31" s="147"/>
    </row>
    <row r="32" spans="1:5">
      <c r="A32" s="150"/>
      <c r="B32" s="161"/>
      <c r="C32" s="161"/>
      <c r="D32" s="152"/>
      <c r="E32" s="147"/>
    </row>
    <row r="33" spans="1:5">
      <c r="A33" s="148"/>
      <c r="B33" s="147"/>
      <c r="C33" s="147"/>
      <c r="D33" s="149"/>
      <c r="E33" s="147"/>
    </row>
    <row r="34" spans="1:5">
      <c r="A34" s="150" t="s">
        <v>28</v>
      </c>
      <c r="B34" s="161"/>
      <c r="C34" s="161"/>
      <c r="D34" s="152"/>
      <c r="E34" s="147"/>
    </row>
    <row r="35" spans="1:5">
      <c r="A35" s="150"/>
      <c r="B35" s="161"/>
      <c r="C35" s="161"/>
      <c r="D35" s="152"/>
      <c r="E35" s="147"/>
    </row>
    <row r="36" spans="1:5">
      <c r="A36" s="150"/>
      <c r="B36" s="161"/>
      <c r="C36" s="161"/>
      <c r="D36" s="152"/>
      <c r="E36" s="147"/>
    </row>
    <row r="37" spans="1:5">
      <c r="A37" s="150"/>
      <c r="B37" s="163"/>
      <c r="C37" s="161"/>
      <c r="D37" s="152"/>
      <c r="E37" s="147"/>
    </row>
    <row r="38" spans="1:5">
      <c r="A38" s="150"/>
      <c r="B38" s="161"/>
      <c r="C38" s="161"/>
      <c r="D38" s="152"/>
      <c r="E38" s="147"/>
    </row>
    <row r="39" spans="1:5">
      <c r="A39" s="148"/>
      <c r="B39" s="147"/>
      <c r="C39" s="147"/>
      <c r="D39" s="149"/>
      <c r="E39" s="147"/>
    </row>
    <row r="40" spans="1:5">
      <c r="A40" s="150" t="s">
        <v>44</v>
      </c>
      <c r="B40" s="161"/>
      <c r="C40" s="164"/>
      <c r="D40" s="152"/>
      <c r="E40" s="147"/>
    </row>
    <row r="41" spans="1:5">
      <c r="A41" s="150"/>
      <c r="B41" s="161"/>
      <c r="C41" s="161"/>
      <c r="D41" s="152"/>
      <c r="E41" s="147"/>
    </row>
    <row r="42" spans="1:5">
      <c r="A42" s="150"/>
      <c r="B42" s="161"/>
      <c r="C42" s="164"/>
      <c r="D42" s="152"/>
      <c r="E42" s="147"/>
    </row>
    <row r="43" spans="1:5">
      <c r="A43" s="148"/>
      <c r="B43" s="147"/>
      <c r="C43" s="147"/>
      <c r="D43" s="149"/>
      <c r="E43" s="147"/>
    </row>
    <row r="44" spans="1:5">
      <c r="A44" s="150" t="s">
        <v>45</v>
      </c>
      <c r="B44" s="163"/>
      <c r="C44" s="163"/>
      <c r="D44" s="152"/>
      <c r="E44" s="147"/>
    </row>
    <row r="45" spans="1:5">
      <c r="A45" s="150"/>
      <c r="B45" s="163"/>
      <c r="C45" s="163"/>
      <c r="D45" s="152"/>
      <c r="E45" s="147"/>
    </row>
    <row r="46" spans="1:5">
      <c r="A46" s="150"/>
      <c r="B46" s="163"/>
      <c r="C46" s="163"/>
      <c r="D46" s="152"/>
      <c r="E46" s="147"/>
    </row>
    <row r="47" spans="1:5">
      <c r="A47" s="148"/>
      <c r="B47" s="147"/>
      <c r="C47" s="147"/>
      <c r="D47" s="149"/>
      <c r="E47" s="147"/>
    </row>
    <row r="48" spans="1:5">
      <c r="A48" s="150" t="s">
        <v>46</v>
      </c>
      <c r="B48" s="163"/>
      <c r="C48" s="163"/>
      <c r="D48" s="152"/>
      <c r="E48" s="147"/>
    </row>
    <row r="49" spans="1:5">
      <c r="A49" s="150"/>
      <c r="B49" s="163"/>
      <c r="C49" s="163"/>
      <c r="D49" s="152"/>
      <c r="E49" s="147"/>
    </row>
    <row r="50" spans="1:5">
      <c r="A50" s="150"/>
      <c r="B50" s="163"/>
      <c r="C50" s="163"/>
      <c r="D50" s="152"/>
      <c r="E50" s="147"/>
    </row>
    <row r="51" spans="1:5">
      <c r="A51" s="148"/>
      <c r="B51" s="147"/>
      <c r="C51" s="147"/>
      <c r="D51" s="149"/>
      <c r="E51" s="147"/>
    </row>
    <row r="52" spans="1:5">
      <c r="A52" s="150" t="s">
        <v>47</v>
      </c>
      <c r="B52" s="163"/>
      <c r="C52" s="163"/>
      <c r="D52" s="152"/>
      <c r="E52" s="147"/>
    </row>
    <row r="53" spans="1:5">
      <c r="A53" s="150"/>
      <c r="B53" s="163"/>
      <c r="C53" s="163"/>
      <c r="D53" s="152"/>
      <c r="E53" s="147"/>
    </row>
    <row r="54" spans="1:5">
      <c r="A54" s="150"/>
      <c r="B54" s="165"/>
      <c r="C54" s="165"/>
      <c r="D54" s="152"/>
      <c r="E54" s="147"/>
    </row>
    <row r="55" spans="1:5" ht="13.5" thickBot="1">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heetViews>
  <sheetFormatPr baseColWidth="10" defaultRowHeight="12.75"/>
  <sheetData>
    <row r="2" spans="1:13">
      <c r="A2" s="166"/>
      <c r="B2" s="166"/>
      <c r="C2" s="166"/>
      <c r="D2" s="166"/>
      <c r="E2" s="166"/>
      <c r="F2" s="166"/>
      <c r="G2" s="166"/>
      <c r="H2" s="166"/>
      <c r="I2" s="166"/>
      <c r="J2" s="166"/>
      <c r="K2" s="3"/>
    </row>
    <row r="3" spans="1:13">
      <c r="A3" s="166"/>
      <c r="B3" s="166"/>
      <c r="C3" s="166"/>
      <c r="D3" s="166"/>
      <c r="E3" s="166"/>
      <c r="F3" s="166"/>
      <c r="G3" s="166"/>
      <c r="H3" s="166"/>
      <c r="I3" s="166"/>
      <c r="J3" s="166"/>
      <c r="K3" s="3"/>
    </row>
    <row r="4" spans="1:13">
      <c r="A4" s="166"/>
      <c r="B4" s="166"/>
      <c r="C4" s="166"/>
      <c r="D4" s="166"/>
      <c r="E4" s="166"/>
      <c r="F4" s="166"/>
      <c r="G4" s="166"/>
      <c r="H4" s="166"/>
      <c r="I4" s="166"/>
      <c r="J4" s="166"/>
      <c r="K4" s="3"/>
    </row>
    <row r="5" spans="1:13">
      <c r="A5" s="166"/>
      <c r="B5" s="166"/>
      <c r="C5" s="166"/>
      <c r="D5" s="166"/>
      <c r="E5" s="166"/>
      <c r="F5" s="166"/>
      <c r="G5" s="166"/>
      <c r="H5" s="166"/>
      <c r="I5" s="166"/>
      <c r="J5" s="166"/>
      <c r="K5" s="3"/>
    </row>
    <row r="6" spans="1:13">
      <c r="A6" s="166"/>
      <c r="B6" s="166"/>
      <c r="C6" s="166"/>
      <c r="D6" s="166"/>
      <c r="E6" s="166"/>
      <c r="F6" s="166"/>
      <c r="G6" s="166"/>
      <c r="H6" s="166"/>
      <c r="I6" s="166"/>
      <c r="J6" s="166"/>
      <c r="K6" s="3"/>
    </row>
    <row r="7" spans="1:13">
      <c r="A7" s="166"/>
      <c r="B7" s="166"/>
      <c r="C7" s="166"/>
      <c r="D7" s="166"/>
      <c r="E7" s="166"/>
      <c r="F7" s="166"/>
      <c r="G7" s="166"/>
      <c r="H7" s="166"/>
      <c r="I7" s="166"/>
      <c r="J7" s="166"/>
      <c r="K7" s="3"/>
    </row>
    <row r="8" spans="1:13">
      <c r="A8" s="166"/>
      <c r="B8" s="166"/>
      <c r="C8" s="166"/>
      <c r="D8" s="166"/>
      <c r="E8" s="166"/>
      <c r="F8" s="166"/>
      <c r="G8" s="166"/>
      <c r="H8" s="166"/>
      <c r="I8" s="166"/>
      <c r="J8" s="166"/>
      <c r="K8" s="3"/>
    </row>
    <row r="9" spans="1:13">
      <c r="A9" s="166"/>
      <c r="B9" s="166"/>
      <c r="C9" s="166"/>
      <c r="D9" s="166"/>
      <c r="E9" s="166"/>
      <c r="F9" s="166"/>
      <c r="G9" s="166"/>
      <c r="H9" s="166"/>
      <c r="I9" s="166"/>
      <c r="J9" s="166"/>
      <c r="K9" s="3"/>
      <c r="M9" s="3"/>
    </row>
    <row r="10" spans="1:13">
      <c r="A10" s="166"/>
      <c r="B10" s="166"/>
      <c r="C10" s="166"/>
      <c r="D10" s="166"/>
      <c r="E10" s="166"/>
      <c r="F10" s="166"/>
      <c r="G10" s="166"/>
      <c r="H10" s="166"/>
      <c r="I10" s="166"/>
      <c r="J10" s="166"/>
      <c r="K10" s="3"/>
    </row>
    <row r="11" spans="1:13">
      <c r="A11" s="166"/>
      <c r="B11" s="166"/>
      <c r="C11" s="166"/>
      <c r="D11" s="166"/>
      <c r="E11" s="166"/>
      <c r="F11" s="166"/>
      <c r="G11" s="166"/>
      <c r="H11" s="166"/>
      <c r="I11" s="166"/>
      <c r="J11" s="166"/>
      <c r="K11" s="3"/>
    </row>
    <row r="12" spans="1:13">
      <c r="A12" s="166"/>
      <c r="B12" s="166"/>
      <c r="C12" s="166"/>
      <c r="D12" s="166"/>
      <c r="E12" s="166"/>
      <c r="F12" s="166"/>
      <c r="G12" s="166"/>
      <c r="H12" s="166"/>
      <c r="I12" s="166"/>
      <c r="J12" s="166"/>
      <c r="K12" s="3"/>
    </row>
    <row r="13" spans="1:13">
      <c r="A13" s="166"/>
      <c r="B13" s="166"/>
      <c r="C13" s="166"/>
      <c r="D13" s="166"/>
      <c r="E13" s="166"/>
      <c r="F13" s="166"/>
      <c r="G13" s="166"/>
      <c r="H13" s="166"/>
      <c r="I13" s="166"/>
      <c r="J13" s="166"/>
      <c r="K13" s="3"/>
    </row>
    <row r="14" spans="1:13">
      <c r="A14" s="166"/>
      <c r="B14" s="166"/>
      <c r="C14" s="166"/>
      <c r="D14" s="166"/>
      <c r="E14" s="166"/>
      <c r="F14" s="166"/>
      <c r="G14" s="166"/>
      <c r="H14" s="166"/>
      <c r="I14" s="166"/>
      <c r="J14" s="166"/>
      <c r="K14" s="3"/>
    </row>
    <row r="15" spans="1:13">
      <c r="A15" s="166"/>
      <c r="B15" s="166"/>
      <c r="C15" s="166"/>
      <c r="D15" s="166"/>
      <c r="E15" s="166"/>
      <c r="F15" s="166"/>
      <c r="G15" s="166"/>
      <c r="H15" s="166"/>
      <c r="I15" s="166"/>
      <c r="J15" s="166"/>
      <c r="K15" s="3"/>
    </row>
    <row r="16" spans="1:13">
      <c r="A16" s="166"/>
      <c r="B16" s="166"/>
      <c r="C16" s="166"/>
      <c r="D16" s="166"/>
      <c r="E16" s="166"/>
      <c r="F16" s="166"/>
      <c r="G16" s="166"/>
      <c r="H16" s="166"/>
      <c r="I16" s="166"/>
      <c r="J16" s="166"/>
      <c r="K16" s="3"/>
    </row>
    <row r="17" spans="11:11">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heetViews>
  <sheetFormatPr baseColWidth="10" defaultRowHeight="12.75"/>
  <cols>
    <col min="7" max="7" width="17.28515625" customWidth="1"/>
    <col min="8" max="8" width="4.140625" customWidth="1"/>
    <col min="9" max="9" width="34" customWidth="1"/>
    <col min="15" max="15" width="43.85546875" customWidth="1"/>
  </cols>
  <sheetData>
    <row r="1" spans="1:17">
      <c r="A1" s="3"/>
    </row>
    <row r="2" spans="1:17">
      <c r="Q2" s="3"/>
    </row>
    <row r="3" spans="1:17">
      <c r="A3" s="19" t="s">
        <v>17</v>
      </c>
    </row>
    <row r="4" spans="1:17">
      <c r="A4" s="19"/>
    </row>
    <row r="5" spans="1:17">
      <c r="A5" s="22" t="s">
        <v>24</v>
      </c>
      <c r="B5" s="22" t="s">
        <v>20</v>
      </c>
      <c r="C5" s="137" t="s">
        <v>21</v>
      </c>
      <c r="D5" s="23" t="s">
        <v>22</v>
      </c>
      <c r="E5" s="24"/>
      <c r="F5" s="24"/>
      <c r="G5" s="24"/>
      <c r="H5" s="136"/>
      <c r="I5" s="23" t="s">
        <v>23</v>
      </c>
      <c r="J5" s="24"/>
      <c r="K5" s="24"/>
      <c r="L5" s="136"/>
      <c r="M5" s="23" t="s">
        <v>18</v>
      </c>
      <c r="N5" s="24"/>
      <c r="O5" s="136"/>
      <c r="P5" s="22" t="s">
        <v>19</v>
      </c>
      <c r="Q5" s="24"/>
    </row>
    <row r="7" spans="1:17">
      <c r="A7" s="167"/>
      <c r="B7" s="167"/>
      <c r="C7" s="168"/>
      <c r="D7" s="169"/>
      <c r="E7" s="167"/>
      <c r="F7" s="167"/>
      <c r="G7" s="167"/>
      <c r="H7" s="168"/>
      <c r="I7" s="169"/>
      <c r="J7" s="167"/>
      <c r="K7" s="167"/>
      <c r="L7" s="168"/>
      <c r="M7" s="169"/>
      <c r="N7" s="167"/>
      <c r="O7" s="168"/>
      <c r="P7" s="167"/>
      <c r="Q7" s="167"/>
    </row>
    <row r="8" spans="1:17">
      <c r="A8" s="167"/>
      <c r="B8" s="167"/>
      <c r="C8" s="168"/>
      <c r="D8" s="169"/>
      <c r="E8" s="167"/>
      <c r="F8" s="167"/>
      <c r="G8" s="167"/>
      <c r="H8" s="168"/>
      <c r="I8" s="169"/>
      <c r="J8" s="167"/>
      <c r="K8" s="167"/>
      <c r="L8" s="168"/>
      <c r="M8" s="169"/>
      <c r="N8" s="167"/>
      <c r="O8" s="168"/>
      <c r="P8" s="167"/>
      <c r="Q8" s="167"/>
    </row>
    <row r="9" spans="1:17">
      <c r="A9" s="167"/>
      <c r="B9" s="167"/>
      <c r="C9" s="168"/>
      <c r="D9" s="169"/>
      <c r="E9" s="167"/>
      <c r="F9" s="167"/>
      <c r="G9" s="167"/>
      <c r="H9" s="168"/>
      <c r="I9" s="169"/>
      <c r="J9" s="167"/>
      <c r="K9" s="167"/>
      <c r="L9" s="168"/>
      <c r="M9" s="169"/>
      <c r="N9" s="167"/>
      <c r="O9" s="168"/>
      <c r="P9" s="167"/>
      <c r="Q9" s="167"/>
    </row>
    <row r="10" spans="1:17">
      <c r="A10" s="167"/>
      <c r="B10" s="167"/>
      <c r="C10" s="168"/>
      <c r="D10" s="169"/>
      <c r="E10" s="167"/>
      <c r="F10" s="167"/>
      <c r="G10" s="167"/>
      <c r="H10" s="168"/>
      <c r="I10" s="169"/>
      <c r="J10" s="167"/>
      <c r="K10" s="167"/>
      <c r="L10" s="168"/>
      <c r="M10" s="169"/>
      <c r="N10" s="167"/>
      <c r="O10" s="168"/>
      <c r="P10" s="167"/>
      <c r="Q10" s="167"/>
    </row>
    <row r="11" spans="1:17">
      <c r="A11" s="167"/>
      <c r="B11" s="167"/>
      <c r="C11" s="168"/>
      <c r="D11" s="169"/>
      <c r="E11" s="167"/>
      <c r="F11" s="167"/>
      <c r="G11" s="167"/>
      <c r="H11" s="168"/>
      <c r="I11" s="169"/>
      <c r="J11" s="167"/>
      <c r="K11" s="167"/>
      <c r="L11" s="168"/>
      <c r="M11" s="169"/>
      <c r="N11" s="167"/>
      <c r="O11" s="168"/>
      <c r="P11" s="167"/>
      <c r="Q11" s="167"/>
    </row>
    <row r="12" spans="1:17">
      <c r="A12" s="167"/>
      <c r="B12" s="167"/>
      <c r="C12" s="168"/>
      <c r="D12" s="169"/>
      <c r="E12" s="167"/>
      <c r="F12" s="167"/>
      <c r="G12" s="167"/>
      <c r="H12" s="168"/>
      <c r="I12" s="169"/>
      <c r="J12" s="167"/>
      <c r="K12" s="167"/>
      <c r="L12" s="168"/>
      <c r="M12" s="169"/>
      <c r="N12" s="167"/>
      <c r="O12" s="168"/>
      <c r="P12" s="167"/>
      <c r="Q12" s="167"/>
    </row>
    <row r="13" spans="1:17">
      <c r="A13" s="167"/>
      <c r="B13" s="167"/>
      <c r="C13" s="168"/>
      <c r="D13" s="169"/>
      <c r="E13" s="167"/>
      <c r="F13" s="167"/>
      <c r="G13" s="167"/>
      <c r="H13" s="168"/>
      <c r="I13" s="169"/>
      <c r="J13" s="167"/>
      <c r="K13" s="167"/>
      <c r="L13" s="168"/>
      <c r="M13" s="169"/>
      <c r="N13" s="167"/>
      <c r="O13" s="168"/>
      <c r="P13" s="167"/>
      <c r="Q13" s="167"/>
    </row>
    <row r="14" spans="1:17">
      <c r="A14" s="167"/>
      <c r="B14" s="167"/>
      <c r="C14" s="168"/>
      <c r="D14" s="169"/>
      <c r="E14" s="167"/>
      <c r="F14" s="167"/>
      <c r="G14" s="167"/>
      <c r="H14" s="168"/>
      <c r="I14" s="169"/>
      <c r="J14" s="167"/>
      <c r="K14" s="167"/>
      <c r="L14" s="168"/>
      <c r="M14" s="169"/>
      <c r="N14" s="167"/>
      <c r="O14" s="168"/>
      <c r="P14" s="167"/>
      <c r="Q14" s="167"/>
    </row>
    <row r="15" spans="1:17">
      <c r="A15" s="167"/>
      <c r="B15" s="167"/>
      <c r="C15" s="168"/>
      <c r="D15" s="169"/>
      <c r="E15" s="167"/>
      <c r="F15" s="167"/>
      <c r="G15" s="167"/>
      <c r="H15" s="168"/>
      <c r="I15" s="169"/>
      <c r="J15" s="167"/>
      <c r="K15" s="167"/>
      <c r="L15" s="168"/>
      <c r="M15" s="169"/>
      <c r="N15" s="167"/>
      <c r="O15" s="168"/>
      <c r="P15" s="167"/>
      <c r="Q15" s="167"/>
    </row>
    <row r="16" spans="1:17">
      <c r="A16" s="167"/>
      <c r="B16" s="167"/>
      <c r="C16" s="168"/>
      <c r="D16" s="169"/>
      <c r="E16" s="167"/>
      <c r="F16" s="167"/>
      <c r="G16" s="167"/>
      <c r="H16" s="168"/>
      <c r="I16" s="169"/>
      <c r="J16" s="167"/>
      <c r="K16" s="167"/>
      <c r="L16" s="168"/>
      <c r="M16" s="169"/>
      <c r="N16" s="167"/>
      <c r="O16" s="168"/>
      <c r="P16" s="167"/>
      <c r="Q16" s="167"/>
    </row>
    <row r="17" spans="1:18">
      <c r="A17" s="167"/>
      <c r="B17" s="167"/>
      <c r="C17" s="168"/>
      <c r="D17" s="169"/>
      <c r="E17" s="167"/>
      <c r="F17" s="167"/>
      <c r="G17" s="167"/>
      <c r="H17" s="168"/>
      <c r="I17" s="169"/>
      <c r="J17" s="167"/>
      <c r="K17" s="167"/>
      <c r="L17" s="168"/>
      <c r="M17" s="169"/>
      <c r="N17" s="167"/>
      <c r="O17" s="168"/>
      <c r="P17" s="167"/>
      <c r="Q17" s="167"/>
      <c r="R17" s="4"/>
    </row>
    <row r="18" spans="1:18">
      <c r="A18" s="167"/>
      <c r="B18" s="167"/>
      <c r="C18" s="168"/>
      <c r="D18" s="169"/>
      <c r="E18" s="167"/>
      <c r="F18" s="167"/>
      <c r="G18" s="167"/>
      <c r="H18" s="168"/>
      <c r="I18" s="169"/>
      <c r="J18" s="167"/>
      <c r="K18" s="167"/>
      <c r="L18" s="168"/>
      <c r="M18" s="169"/>
      <c r="N18" s="167"/>
      <c r="O18" s="168"/>
      <c r="P18" s="167"/>
      <c r="Q18" s="167"/>
    </row>
    <row r="19" spans="1:18">
      <c r="A19" s="167"/>
      <c r="B19" s="167"/>
      <c r="C19" s="168"/>
      <c r="D19" s="169"/>
      <c r="E19" s="167"/>
      <c r="F19" s="167"/>
      <c r="G19" s="167"/>
      <c r="H19" s="168"/>
      <c r="I19" s="169"/>
      <c r="J19" s="167"/>
      <c r="K19" s="167"/>
      <c r="L19" s="168"/>
      <c r="M19" s="169"/>
      <c r="N19" s="167"/>
      <c r="O19" s="168"/>
      <c r="P19" s="167"/>
      <c r="Q19" s="167"/>
    </row>
    <row r="20" spans="1:18">
      <c r="A20" s="167"/>
      <c r="B20" s="167"/>
      <c r="C20" s="168"/>
      <c r="D20" s="169"/>
      <c r="E20" s="167"/>
      <c r="F20" s="167"/>
      <c r="G20" s="167"/>
      <c r="H20" s="168"/>
      <c r="I20" s="169"/>
      <c r="J20" s="167"/>
      <c r="K20" s="167"/>
      <c r="L20" s="168"/>
      <c r="M20" s="169"/>
      <c r="N20" s="167"/>
      <c r="O20" s="168"/>
      <c r="P20" s="167"/>
      <c r="Q20" s="167"/>
    </row>
    <row r="21" spans="1:18">
      <c r="A21" s="167"/>
      <c r="B21" s="167"/>
      <c r="C21" s="168"/>
      <c r="D21" s="169"/>
      <c r="E21" s="167"/>
      <c r="F21" s="167"/>
      <c r="G21" s="167"/>
      <c r="H21" s="168"/>
      <c r="I21" s="169"/>
      <c r="J21" s="167"/>
      <c r="K21" s="167"/>
      <c r="L21" s="168"/>
      <c r="M21" s="169"/>
      <c r="N21" s="167"/>
      <c r="O21" s="168"/>
      <c r="P21" s="167"/>
      <c r="Q21" s="167"/>
    </row>
    <row r="22" spans="1:18">
      <c r="A22" s="167"/>
      <c r="B22" s="167"/>
      <c r="C22" s="168"/>
      <c r="D22" s="169"/>
      <c r="E22" s="167"/>
      <c r="F22" s="167"/>
      <c r="G22" s="167"/>
      <c r="H22" s="168"/>
      <c r="I22" s="169"/>
      <c r="J22" s="167"/>
      <c r="K22" s="167"/>
      <c r="L22" s="168"/>
      <c r="M22" s="169"/>
      <c r="N22" s="167"/>
      <c r="O22" s="168"/>
      <c r="P22" s="167"/>
      <c r="Q22" s="167"/>
    </row>
    <row r="23" spans="1:18">
      <c r="A23" s="167"/>
      <c r="B23" s="167"/>
      <c r="C23" s="168"/>
      <c r="D23" s="169"/>
      <c r="E23" s="167"/>
      <c r="F23" s="167"/>
      <c r="G23" s="167"/>
      <c r="H23" s="168"/>
      <c r="I23" s="169"/>
      <c r="J23" s="167"/>
      <c r="K23" s="167"/>
      <c r="L23" s="168"/>
      <c r="M23" s="169"/>
      <c r="N23" s="167"/>
      <c r="O23" s="168"/>
      <c r="P23" s="167"/>
      <c r="Q23" s="167"/>
    </row>
    <row r="24" spans="1:18">
      <c r="A24" s="167"/>
      <c r="B24" s="167"/>
      <c r="C24" s="168"/>
      <c r="D24" s="169"/>
      <c r="E24" s="167"/>
      <c r="F24" s="167"/>
      <c r="G24" s="167"/>
      <c r="H24" s="168"/>
      <c r="I24" s="169"/>
      <c r="J24" s="167"/>
      <c r="K24" s="167"/>
      <c r="L24" s="168"/>
      <c r="M24" s="169"/>
      <c r="N24" s="167"/>
      <c r="O24" s="168"/>
      <c r="P24" s="167"/>
      <c r="Q24" s="167"/>
    </row>
    <row r="25" spans="1:18">
      <c r="A25" s="167"/>
      <c r="B25" s="167"/>
      <c r="C25" s="168"/>
      <c r="D25" s="169"/>
      <c r="E25" s="167"/>
      <c r="F25" s="167"/>
      <c r="G25" s="167"/>
      <c r="H25" s="168"/>
      <c r="I25" s="169"/>
      <c r="J25" s="167"/>
      <c r="K25" s="167"/>
      <c r="L25" s="168"/>
      <c r="M25" s="169"/>
      <c r="N25" s="167"/>
      <c r="O25" s="168"/>
      <c r="P25" s="167"/>
      <c r="Q25" s="167"/>
    </row>
    <row r="26" spans="1:18">
      <c r="A26" s="167"/>
      <c r="B26" s="167"/>
      <c r="C26" s="168"/>
      <c r="D26" s="169"/>
      <c r="E26" s="167"/>
      <c r="F26" s="167"/>
      <c r="G26" s="167"/>
      <c r="H26" s="168"/>
      <c r="I26" s="169"/>
      <c r="J26" s="167"/>
      <c r="K26" s="167"/>
      <c r="L26" s="168"/>
      <c r="M26" s="169"/>
      <c r="N26" s="167"/>
      <c r="O26" s="168"/>
      <c r="P26" s="167"/>
      <c r="Q26" s="167"/>
    </row>
    <row r="27" spans="1:18">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2024-04-12T09:44:56Z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