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DieseArbeitsmappe" checkCompatibility="1"/>
  <mc:AlternateContent xmlns:mc="http://schemas.openxmlformats.org/markup-compatibility/2006">
    <mc:Choice Requires="x15">
      <x15ac:absPath xmlns:x15ac="http://schemas.microsoft.com/office/spreadsheetml/2010/11/ac" url="C:\Users\Jerome\Documents\Word-Dokumente\Freizeit\Programmieren\15_Programming\VBA\Kita\Jahresbelegung_dev\"/>
    </mc:Choice>
  </mc:AlternateContent>
  <xr:revisionPtr revIDLastSave="0" documentId="13_ncr:1_{0C0F048C-8594-45CD-A473-8A670EBFADDA}" xr6:coauthVersionLast="47" xr6:coauthVersionMax="47" xr10:uidLastSave="{00000000-0000-0000-0000-000000000000}"/>
  <bookViews>
    <workbookView xWindow="0" yWindow="160" windowWidth="38400" windowHeight="20840" xr2:uid="{FD03ACDB-F39C-4B1E-A081-591F7AE69B34}"/>
  </bookViews>
  <sheets>
    <sheet name="Übersicht" sheetId="16" r:id="rId1"/>
    <sheet name="Vorlage_Total Auslastung" sheetId="6" state="hidden" r:id="rId2"/>
    <sheet name="Vorlage_Gruppen" sheetId="15" state="hidden" r:id="rId3"/>
    <sheet name="Vorlage_Mutationen für Gruppen" sheetId="24" state="hidden" r:id="rId4"/>
    <sheet name="Vorlage_Mutationen" sheetId="9" state="hidden" r:id="rId5"/>
    <sheet name="Vorlage_Wünsche Eltern" sheetId="7" state="hidden" r:id="rId6"/>
  </sheets>
  <functionGroups builtInGroupCount="19"/>
  <definedNames>
    <definedName name="_xlnm.Print_Area" localSheetId="2">Vorlage_Gruppen!$A$1:$U$15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Z9" i="15" l="1"/>
  <c r="CN9" i="15"/>
  <c r="CM8" i="15"/>
  <c r="BN9" i="15"/>
  <c r="BM8" i="15"/>
  <c r="AV9" i="15"/>
  <c r="AJ9" i="15"/>
  <c r="AI8" i="15"/>
  <c r="CD9" i="15"/>
  <c r="CD8" i="15"/>
  <c r="CC8" i="15"/>
  <c r="DI9" i="15"/>
  <c r="DH9" i="15"/>
  <c r="DE9" i="15"/>
  <c r="DI8" i="15"/>
  <c r="DH8" i="15"/>
  <c r="DE8" i="15"/>
  <c r="CS9" i="15"/>
  <c r="CR9" i="15"/>
  <c r="CO9" i="15"/>
  <c r="CS8" i="15"/>
  <c r="CR8" i="15"/>
  <c r="CO8" i="15"/>
  <c r="BU9" i="15"/>
  <c r="BT9" i="15"/>
  <c r="BQ9" i="15"/>
  <c r="BU8" i="15"/>
  <c r="BT8" i="15"/>
  <c r="BQ8" i="15"/>
  <c r="BE9" i="15"/>
  <c r="BD9" i="15"/>
  <c r="BA9" i="15"/>
  <c r="BE8" i="15"/>
  <c r="BD8" i="15"/>
  <c r="BA8" i="15"/>
  <c r="AO9" i="15"/>
  <c r="AN9" i="15"/>
  <c r="AK9" i="15"/>
  <c r="AO8" i="15"/>
  <c r="AN8" i="15"/>
  <c r="AK8" i="15"/>
  <c r="Y9" i="15"/>
  <c r="X9" i="15"/>
  <c r="X8" i="15"/>
  <c r="P9" i="15"/>
  <c r="Q8" i="15"/>
  <c r="R8" i="15"/>
  <c r="Y5" i="15"/>
  <c r="AG5" i="15" s="1"/>
  <c r="AO5" i="15" s="1"/>
  <c r="AW5" i="15" s="1"/>
  <c r="BE5" i="15" s="1"/>
  <c r="BM5" i="15" s="1"/>
  <c r="BU5" i="15" s="1"/>
  <c r="CC5" i="15" s="1"/>
  <c r="CK5" i="15" s="1"/>
  <c r="CS5" i="15" s="1"/>
  <c r="DA5" i="15" s="1"/>
  <c r="DI5" i="15" s="1"/>
  <c r="Z5" i="15"/>
  <c r="AH5" i="15" s="1"/>
  <c r="AP5" i="15" s="1"/>
  <c r="AX5" i="15" s="1"/>
  <c r="BF5" i="15" s="1"/>
  <c r="BN5" i="15" s="1"/>
  <c r="BV5" i="15" s="1"/>
  <c r="CD5" i="15" s="1"/>
  <c r="CL5" i="15" s="1"/>
  <c r="CT5" i="15" s="1"/>
  <c r="DB5" i="15" s="1"/>
  <c r="DJ5" i="15" s="1"/>
  <c r="AA5" i="15"/>
  <c r="AI5" i="15" s="1"/>
  <c r="AQ5" i="15" s="1"/>
  <c r="AY5" i="15" s="1"/>
  <c r="BG5" i="15" s="1"/>
  <c r="BO5" i="15" s="1"/>
  <c r="BW5" i="15" s="1"/>
  <c r="CE5" i="15" s="1"/>
  <c r="CM5" i="15" s="1"/>
  <c r="CU5" i="15" s="1"/>
  <c r="DC5" i="15" s="1"/>
  <c r="DK5" i="15" s="1"/>
  <c r="AB5" i="15"/>
  <c r="AJ5" i="15" s="1"/>
  <c r="AR5" i="15" s="1"/>
  <c r="AZ5" i="15" s="1"/>
  <c r="BH5" i="15" s="1"/>
  <c r="BP5" i="15" s="1"/>
  <c r="BX5" i="15" s="1"/>
  <c r="CF5" i="15" s="1"/>
  <c r="CN5" i="15" s="1"/>
  <c r="CV5" i="15" s="1"/>
  <c r="DD5" i="15" s="1"/>
  <c r="DL5" i="15" s="1"/>
  <c r="X5" i="15"/>
  <c r="AF5" i="15" s="1"/>
  <c r="AN5" i="15" s="1"/>
  <c r="AV5" i="15" s="1"/>
  <c r="BD5" i="15" s="1"/>
  <c r="BL5" i="15" s="1"/>
  <c r="BT5" i="15" s="1"/>
  <c r="CB5" i="15" s="1"/>
  <c r="CJ5" i="15" s="1"/>
  <c r="CR5" i="15" s="1"/>
  <c r="CZ5" i="15" s="1"/>
  <c r="DH5" i="15" s="1"/>
  <c r="I14" i="15"/>
  <c r="J14" i="15"/>
  <c r="K14" i="15"/>
  <c r="L14" i="15"/>
  <c r="I15" i="15"/>
  <c r="J15" i="15"/>
  <c r="K15" i="15"/>
  <c r="L15" i="15"/>
  <c r="H15" i="15"/>
  <c r="H14" i="15"/>
  <c r="O7" i="6"/>
  <c r="N20" i="6"/>
  <c r="N19" i="6"/>
  <c r="N17" i="6"/>
  <c r="N16" i="6"/>
  <c r="N14" i="6"/>
  <c r="N13" i="6"/>
  <c r="N11" i="6"/>
  <c r="N10" i="6"/>
  <c r="U8" i="15"/>
  <c r="AC8" i="15" s="1"/>
  <c r="U9" i="15"/>
  <c r="AC9" i="15" s="1"/>
  <c r="I11" i="15"/>
  <c r="J11" i="15"/>
  <c r="K11" i="15"/>
  <c r="L11" i="15"/>
  <c r="H11" i="15"/>
  <c r="CH9" i="15"/>
  <c r="C9" i="15"/>
  <c r="CH8" i="15"/>
  <c r="C8" i="15"/>
  <c r="CF12" i="15"/>
  <c r="CE12" i="15"/>
  <c r="CD12" i="15"/>
  <c r="CC12" i="15"/>
  <c r="CB12" i="15"/>
  <c r="A3" i="15"/>
  <c r="CB4" i="15" s="1"/>
  <c r="DL12" i="15"/>
  <c r="DK12" i="15"/>
  <c r="DJ12" i="15"/>
  <c r="DI12" i="15"/>
  <c r="DH12" i="15"/>
  <c r="CV12" i="15"/>
  <c r="CU12" i="15"/>
  <c r="CT12" i="15"/>
  <c r="CS12" i="15"/>
  <c r="CR12" i="15"/>
  <c r="DD12" i="15"/>
  <c r="DC12" i="15"/>
  <c r="DB12" i="15"/>
  <c r="DA12" i="15"/>
  <c r="CZ12" i="15"/>
  <c r="CN12" i="15"/>
  <c r="CM12" i="15"/>
  <c r="CL12" i="15"/>
  <c r="CK12" i="15"/>
  <c r="CJ12" i="15"/>
  <c r="BP12" i="15"/>
  <c r="BO12" i="15"/>
  <c r="BN12" i="15"/>
  <c r="BM12" i="15"/>
  <c r="BL12" i="15"/>
  <c r="AZ12" i="15"/>
  <c r="AY12" i="15"/>
  <c r="AX12" i="15"/>
  <c r="AW12" i="15"/>
  <c r="AV12" i="15"/>
  <c r="AJ12" i="15"/>
  <c r="AI12" i="15"/>
  <c r="AH12" i="15"/>
  <c r="AG12" i="15"/>
  <c r="AF12" i="15"/>
  <c r="T12" i="15"/>
  <c r="S12" i="15"/>
  <c r="R12" i="15"/>
  <c r="Q12" i="15"/>
  <c r="P12" i="15"/>
  <c r="BX12" i="15"/>
  <c r="BW12" i="15"/>
  <c r="BV12" i="15"/>
  <c r="BU12" i="15"/>
  <c r="BT12" i="15"/>
  <c r="BH12" i="15"/>
  <c r="BG12" i="15"/>
  <c r="BF12" i="15"/>
  <c r="BE12" i="15"/>
  <c r="BD12" i="15"/>
  <c r="AR12" i="15"/>
  <c r="AQ12" i="15"/>
  <c r="AP12" i="15"/>
  <c r="AO12" i="15"/>
  <c r="AN12" i="15"/>
  <c r="AB12" i="15"/>
  <c r="AA12" i="15"/>
  <c r="Z12" i="15"/>
  <c r="Y12" i="15"/>
  <c r="X12" i="15"/>
  <c r="L12" i="15"/>
  <c r="K12" i="15"/>
  <c r="J12" i="15"/>
  <c r="I12" i="15"/>
  <c r="H12" i="15"/>
  <c r="A31" i="6"/>
  <c r="N18" i="6" s="1"/>
  <c r="A23" i="6"/>
  <c r="N15" i="6" s="1"/>
  <c r="A15" i="6"/>
  <c r="N12" i="6" s="1"/>
  <c r="A6" i="6"/>
  <c r="N9" i="6" s="1"/>
  <c r="S8" i="15" l="1"/>
  <c r="Q9" i="15"/>
  <c r="AB8" i="15"/>
  <c r="CB8" i="15"/>
  <c r="CC9" i="15"/>
  <c r="AH8" i="15"/>
  <c r="AI9" i="15"/>
  <c r="AZ8" i="15"/>
  <c r="BL8" i="15"/>
  <c r="BM9" i="15"/>
  <c r="CL8" i="15"/>
  <c r="CM9" i="15"/>
  <c r="DD8" i="15"/>
  <c r="CE9" i="15"/>
  <c r="AV8" i="15"/>
  <c r="BN8" i="15"/>
  <c r="BO9" i="15"/>
  <c r="DA9" i="15"/>
  <c r="T9" i="15"/>
  <c r="Y8" i="15"/>
  <c r="Z9" i="15"/>
  <c r="AP8" i="15"/>
  <c r="AP9" i="15"/>
  <c r="BF8" i="15"/>
  <c r="BF9" i="15"/>
  <c r="BV8" i="15"/>
  <c r="BV9" i="15"/>
  <c r="CT8" i="15"/>
  <c r="CT9" i="15"/>
  <c r="DJ8" i="15"/>
  <c r="DJ9" i="15"/>
  <c r="CE8" i="15"/>
  <c r="CF9" i="15"/>
  <c r="AF9" i="15"/>
  <c r="AW8" i="15"/>
  <c r="AX9" i="15"/>
  <c r="BO8" i="15"/>
  <c r="BP9" i="15"/>
  <c r="CJ9" i="15"/>
  <c r="DA8" i="15"/>
  <c r="DB9" i="15"/>
  <c r="AJ8" i="15"/>
  <c r="AW9" i="15"/>
  <c r="CN8" i="15"/>
  <c r="CZ8" i="15"/>
  <c r="P8" i="15"/>
  <c r="P14" i="15" s="1"/>
  <c r="S9" i="15"/>
  <c r="S15" i="15" s="1"/>
  <c r="Z8" i="15"/>
  <c r="AA9" i="15"/>
  <c r="AQ8" i="15"/>
  <c r="AQ9" i="15"/>
  <c r="BG8" i="15"/>
  <c r="BG9" i="15"/>
  <c r="BW8" i="15"/>
  <c r="BW9" i="15"/>
  <c r="CU8" i="15"/>
  <c r="CU9" i="15"/>
  <c r="DK8" i="15"/>
  <c r="DK9" i="15"/>
  <c r="CF8" i="15"/>
  <c r="AF8" i="15"/>
  <c r="AG9" i="15"/>
  <c r="AX8" i="15"/>
  <c r="AY9" i="15"/>
  <c r="BP8" i="15"/>
  <c r="CJ8" i="15"/>
  <c r="CK9" i="15"/>
  <c r="DB8" i="15"/>
  <c r="DC9" i="15"/>
  <c r="T8" i="15"/>
  <c r="T15" i="15" s="1"/>
  <c r="R9" i="15"/>
  <c r="R14" i="15" s="1"/>
  <c r="AA8" i="15"/>
  <c r="AB9" i="15"/>
  <c r="AR8" i="15"/>
  <c r="AR9" i="15"/>
  <c r="BH8" i="15"/>
  <c r="BH9" i="15"/>
  <c r="BX8" i="15"/>
  <c r="BX9" i="15"/>
  <c r="CV8" i="15"/>
  <c r="CV9" i="15"/>
  <c r="DL8" i="15"/>
  <c r="DL9" i="15"/>
  <c r="CB9" i="15"/>
  <c r="AG8" i="15"/>
  <c r="AH9" i="15"/>
  <c r="AY8" i="15"/>
  <c r="AZ9" i="15"/>
  <c r="BL9" i="15"/>
  <c r="CK8" i="15"/>
  <c r="CL9" i="15"/>
  <c r="DC8" i="15"/>
  <c r="DD9" i="15"/>
  <c r="AA14" i="15"/>
  <c r="AS9" i="15"/>
  <c r="M11" i="15"/>
  <c r="AS8" i="15"/>
  <c r="S11" i="15"/>
  <c r="S13" i="15" s="1"/>
  <c r="CG12" i="15"/>
  <c r="T14" i="15"/>
  <c r="P15" i="15"/>
  <c r="Q15" i="15"/>
  <c r="BT4" i="15"/>
  <c r="BL4" i="15"/>
  <c r="X4" i="15"/>
  <c r="AF4" i="15"/>
  <c r="CJ4" i="15"/>
  <c r="AN4" i="15"/>
  <c r="CR4" i="15"/>
  <c r="AV4" i="15"/>
  <c r="CZ4" i="15"/>
  <c r="H4" i="15"/>
  <c r="BD4" i="15"/>
  <c r="DH4" i="15"/>
  <c r="P4" i="15"/>
  <c r="U12" i="15"/>
  <c r="AK12" i="15"/>
  <c r="CO12" i="15"/>
  <c r="DE12" i="15"/>
  <c r="DM12" i="15"/>
  <c r="BA12" i="15"/>
  <c r="BQ12" i="15"/>
  <c r="AS12" i="15"/>
  <c r="BY12" i="15"/>
  <c r="CW12" i="15"/>
  <c r="AC12" i="15"/>
  <c r="BI12" i="15"/>
  <c r="K13" i="15"/>
  <c r="J13" i="15"/>
  <c r="M12" i="15"/>
  <c r="H13" i="15"/>
  <c r="I13" i="15"/>
  <c r="L13" i="15"/>
  <c r="S14" i="15" l="1"/>
  <c r="P11" i="15"/>
  <c r="R15" i="15"/>
  <c r="BI9" i="15"/>
  <c r="BY9" i="15" s="1"/>
  <c r="CG9" i="15" s="1"/>
  <c r="AA15" i="15"/>
  <c r="AA11" i="15"/>
  <c r="AA13" i="15" s="1"/>
  <c r="R11" i="15"/>
  <c r="R13" i="15" s="1"/>
  <c r="T11" i="15"/>
  <c r="T13" i="15" s="1"/>
  <c r="Q11" i="15"/>
  <c r="Q13" i="15" s="1"/>
  <c r="Q14" i="15"/>
  <c r="BI8" i="15"/>
  <c r="C27" i="6"/>
  <c r="B27" i="6"/>
  <c r="Y15" i="15"/>
  <c r="Y14" i="15"/>
  <c r="Y11" i="15"/>
  <c r="Y13" i="15" s="1"/>
  <c r="J19" i="6"/>
  <c r="K19" i="6" s="1"/>
  <c r="F19" i="6"/>
  <c r="G19" i="6" s="1"/>
  <c r="J35" i="6"/>
  <c r="K35" i="6" s="1"/>
  <c r="B19" i="6"/>
  <c r="C19" i="6" s="1"/>
  <c r="J11" i="6"/>
  <c r="K11" i="6" s="1"/>
  <c r="Z14" i="15"/>
  <c r="Z11" i="15"/>
  <c r="Z13" i="15" s="1"/>
  <c r="Z15" i="15"/>
  <c r="B11" i="6"/>
  <c r="C11" i="6" s="1"/>
  <c r="AI14" i="15"/>
  <c r="AI15" i="15"/>
  <c r="AI11" i="15"/>
  <c r="AI13" i="15" s="1"/>
  <c r="F27" i="6"/>
  <c r="G27" i="6" s="1"/>
  <c r="F11" i="6"/>
  <c r="G11" i="6" s="1"/>
  <c r="AB11" i="15"/>
  <c r="AB13" i="15" s="1"/>
  <c r="B35" i="6"/>
  <c r="C35" i="6" s="1"/>
  <c r="F35" i="6"/>
  <c r="G35" i="6" s="1"/>
  <c r="J27" i="6"/>
  <c r="K27" i="6" s="1"/>
  <c r="X11" i="15"/>
  <c r="X14" i="15"/>
  <c r="X15" i="15"/>
  <c r="AB14" i="15"/>
  <c r="AB15" i="15"/>
  <c r="M13" i="15"/>
  <c r="P13" i="15"/>
  <c r="U11" i="15" l="1"/>
  <c r="B10" i="6" s="1"/>
  <c r="CW9" i="15"/>
  <c r="BY8" i="15"/>
  <c r="CG8" i="15" s="1"/>
  <c r="AJ15" i="15"/>
  <c r="AF15" i="15"/>
  <c r="AF11" i="15"/>
  <c r="AF14" i="15"/>
  <c r="AQ15" i="15"/>
  <c r="AQ11" i="15"/>
  <c r="AQ13" i="15" s="1"/>
  <c r="AQ14" i="15"/>
  <c r="AG11" i="15"/>
  <c r="AG13" i="15" s="1"/>
  <c r="AG14" i="15"/>
  <c r="AG15" i="15"/>
  <c r="AJ11" i="15"/>
  <c r="AJ13" i="15" s="1"/>
  <c r="AR14" i="15"/>
  <c r="AR15" i="15"/>
  <c r="AR11" i="15"/>
  <c r="AR13" i="15" s="1"/>
  <c r="AH11" i="15"/>
  <c r="AH13" i="15" s="1"/>
  <c r="AH14" i="15"/>
  <c r="AH15" i="15"/>
  <c r="AJ14" i="15"/>
  <c r="X13" i="15"/>
  <c r="AC11" i="15"/>
  <c r="U13" i="15" l="1"/>
  <c r="DM9" i="15"/>
  <c r="CW8" i="15"/>
  <c r="AK11" i="15"/>
  <c r="AZ15" i="15"/>
  <c r="AZ11" i="15"/>
  <c r="AZ13" i="15" s="1"/>
  <c r="AZ14" i="15"/>
  <c r="AY15" i="15"/>
  <c r="AY11" i="15"/>
  <c r="AY13" i="15" s="1"/>
  <c r="AY14" i="15"/>
  <c r="AN14" i="15"/>
  <c r="AN15" i="15"/>
  <c r="AN11" i="15"/>
  <c r="AO14" i="15"/>
  <c r="AO15" i="15"/>
  <c r="AO11" i="15"/>
  <c r="AO13" i="15" s="1"/>
  <c r="B12" i="6"/>
  <c r="O9" i="6" s="1"/>
  <c r="F10" i="6"/>
  <c r="G10" i="6" s="1"/>
  <c r="G12" i="6" s="1"/>
  <c r="AP15" i="15"/>
  <c r="AP11" i="15"/>
  <c r="AP13" i="15" s="1"/>
  <c r="AP14" i="15"/>
  <c r="C10" i="6"/>
  <c r="C12" i="6" s="1"/>
  <c r="AC13" i="15"/>
  <c r="AF13" i="15"/>
  <c r="DM8" i="15" l="1"/>
  <c r="BG15" i="15"/>
  <c r="BG14" i="15"/>
  <c r="BG11" i="15"/>
  <c r="BG13" i="15" s="1"/>
  <c r="BH14" i="15"/>
  <c r="BH11" i="15"/>
  <c r="BH13" i="15" s="1"/>
  <c r="BH15" i="15"/>
  <c r="AW14" i="15"/>
  <c r="AW15" i="15"/>
  <c r="AW11" i="15"/>
  <c r="AW13" i="15" s="1"/>
  <c r="F12" i="6"/>
  <c r="O10" i="6" s="1"/>
  <c r="AX14" i="15"/>
  <c r="AX15" i="15"/>
  <c r="AX11" i="15"/>
  <c r="AX13" i="15" s="1"/>
  <c r="AV14" i="15"/>
  <c r="AV11" i="15"/>
  <c r="AV15" i="15"/>
  <c r="J10" i="6"/>
  <c r="K10" i="6" s="1"/>
  <c r="K12" i="6" s="1"/>
  <c r="AK13" i="15"/>
  <c r="AN13" i="15"/>
  <c r="AS11" i="15"/>
  <c r="BD15" i="15" l="1"/>
  <c r="BD14" i="15"/>
  <c r="BD11" i="15"/>
  <c r="BF14" i="15"/>
  <c r="BF11" i="15"/>
  <c r="BF13" i="15" s="1"/>
  <c r="BF15" i="15"/>
  <c r="BE15" i="15"/>
  <c r="BE14" i="15"/>
  <c r="BE11" i="15"/>
  <c r="BE13" i="15" s="1"/>
  <c r="J12" i="6"/>
  <c r="O11" i="6" s="1"/>
  <c r="BO14" i="15"/>
  <c r="BO11" i="15"/>
  <c r="BO13" i="15" s="1"/>
  <c r="BO15" i="15"/>
  <c r="BP14" i="15"/>
  <c r="BP11" i="15"/>
  <c r="BP13" i="15" s="1"/>
  <c r="BP15" i="15"/>
  <c r="BA11" i="15"/>
  <c r="B18" i="6"/>
  <c r="C18" i="6" s="1"/>
  <c r="C20" i="6" s="1"/>
  <c r="AS13" i="15"/>
  <c r="AV13" i="15"/>
  <c r="BN15" i="15" l="1"/>
  <c r="BN11" i="15"/>
  <c r="BN13" i="15" s="1"/>
  <c r="BN14" i="15"/>
  <c r="BW14" i="15"/>
  <c r="BW15" i="15"/>
  <c r="BW11" i="15"/>
  <c r="BW13" i="15" s="1"/>
  <c r="B20" i="6"/>
  <c r="O12" i="6" s="1"/>
  <c r="F18" i="6"/>
  <c r="G18" i="6" s="1"/>
  <c r="G20" i="6" s="1"/>
  <c r="BX14" i="15"/>
  <c r="BX15" i="15"/>
  <c r="BX11" i="15"/>
  <c r="BX13" i="15" s="1"/>
  <c r="BM15" i="15"/>
  <c r="BM14" i="15"/>
  <c r="BM11" i="15"/>
  <c r="BM13" i="15" s="1"/>
  <c r="BL14" i="15"/>
  <c r="BL11" i="15"/>
  <c r="BL15" i="15"/>
  <c r="BA13" i="15"/>
  <c r="BD13" i="15"/>
  <c r="BI11" i="15"/>
  <c r="BQ11" i="15" l="1"/>
  <c r="B26" i="6" s="1"/>
  <c r="BV14" i="15"/>
  <c r="BV11" i="15"/>
  <c r="BV13" i="15" s="1"/>
  <c r="BV15" i="15"/>
  <c r="F20" i="6"/>
  <c r="O13" i="6" s="1"/>
  <c r="CF11" i="15"/>
  <c r="CF13" i="15" s="1"/>
  <c r="CF15" i="15"/>
  <c r="CF14" i="15"/>
  <c r="BU11" i="15"/>
  <c r="BU13" i="15" s="1"/>
  <c r="BU14" i="15"/>
  <c r="BU15" i="15"/>
  <c r="J18" i="6"/>
  <c r="K18" i="6" s="1"/>
  <c r="K20" i="6" s="1"/>
  <c r="CE14" i="15"/>
  <c r="CE11" i="15"/>
  <c r="CE13" i="15" s="1"/>
  <c r="CE15" i="15"/>
  <c r="BT15" i="15"/>
  <c r="BT11" i="15"/>
  <c r="BT14" i="15"/>
  <c r="BI13" i="15"/>
  <c r="BL13" i="15"/>
  <c r="CN14" i="15" l="1"/>
  <c r="CN15" i="15"/>
  <c r="CN11" i="15"/>
  <c r="CN13" i="15" s="1"/>
  <c r="CC14" i="15"/>
  <c r="CC11" i="15"/>
  <c r="CC15" i="15"/>
  <c r="CM11" i="15"/>
  <c r="CM13" i="15" s="1"/>
  <c r="CM14" i="15"/>
  <c r="CM15" i="15"/>
  <c r="CB11" i="15"/>
  <c r="CB13" i="15" s="1"/>
  <c r="CB14" i="15"/>
  <c r="CB15" i="15"/>
  <c r="CD14" i="15"/>
  <c r="CD11" i="15"/>
  <c r="CD13" i="15" s="1"/>
  <c r="CD15" i="15"/>
  <c r="J20" i="6"/>
  <c r="O14" i="6" s="1"/>
  <c r="C26" i="6"/>
  <c r="C28" i="6" s="1"/>
  <c r="BT13" i="15"/>
  <c r="BY11" i="15"/>
  <c r="BQ13" i="15"/>
  <c r="B28" i="6" l="1"/>
  <c r="O15" i="6" s="1"/>
  <c r="CU15" i="15"/>
  <c r="CU11" i="15"/>
  <c r="CU13" i="15" s="1"/>
  <c r="CU14" i="15"/>
  <c r="CV11" i="15"/>
  <c r="CV13" i="15" s="1"/>
  <c r="CV14" i="15"/>
  <c r="CV15" i="15"/>
  <c r="CK11" i="15"/>
  <c r="CK13" i="15" s="1"/>
  <c r="CK14" i="15"/>
  <c r="CK15" i="15"/>
  <c r="CL11" i="15"/>
  <c r="CL13" i="15" s="1"/>
  <c r="CL14" i="15"/>
  <c r="CL15" i="15"/>
  <c r="CJ11" i="15"/>
  <c r="CJ13" i="15" s="1"/>
  <c r="CJ15" i="15"/>
  <c r="CJ14" i="15"/>
  <c r="CC13" i="15"/>
  <c r="CG11" i="15"/>
  <c r="BY13" i="15"/>
  <c r="CR11" i="15" l="1"/>
  <c r="CR13" i="15" s="1"/>
  <c r="CR14" i="15"/>
  <c r="CR15" i="15"/>
  <c r="CG13" i="15"/>
  <c r="F26" i="6"/>
  <c r="G26" i="6" s="1"/>
  <c r="G28" i="6" s="1"/>
  <c r="CS14" i="15"/>
  <c r="CS11" i="15"/>
  <c r="CS13" i="15" s="1"/>
  <c r="CS15" i="15"/>
  <c r="CT15" i="15"/>
  <c r="CT11" i="15"/>
  <c r="CT13" i="15" s="1"/>
  <c r="CT14" i="15"/>
  <c r="CO11" i="15"/>
  <c r="CO13" i="15" s="1"/>
  <c r="DD15" i="15"/>
  <c r="DD11" i="15"/>
  <c r="DD13" i="15" s="1"/>
  <c r="DD14" i="15"/>
  <c r="DC15" i="15"/>
  <c r="DC14" i="15"/>
  <c r="DC11" i="15"/>
  <c r="DC13" i="15" s="1"/>
  <c r="CW11" i="15" l="1"/>
  <c r="J28" i="6"/>
  <c r="O17" i="6" s="1"/>
  <c r="DB14" i="15"/>
  <c r="DB15" i="15"/>
  <c r="DB11" i="15"/>
  <c r="DB13" i="15" s="1"/>
  <c r="J26" i="6"/>
  <c r="K26" i="6" s="1"/>
  <c r="K28" i="6" s="1"/>
  <c r="DL15" i="15"/>
  <c r="DL14" i="15"/>
  <c r="DL11" i="15"/>
  <c r="DL13" i="15" s="1"/>
  <c r="F28" i="6"/>
  <c r="O16" i="6" s="1"/>
  <c r="DA11" i="15"/>
  <c r="DA13" i="15" s="1"/>
  <c r="DA14" i="15"/>
  <c r="DA15" i="15"/>
  <c r="CZ11" i="15"/>
  <c r="CZ15" i="15"/>
  <c r="CZ14" i="15"/>
  <c r="DK11" i="15"/>
  <c r="DK13" i="15" s="1"/>
  <c r="DK14" i="15"/>
  <c r="DK15" i="15"/>
  <c r="DE11" i="15" l="1"/>
  <c r="B34" i="6"/>
  <c r="C34" i="6" s="1"/>
  <c r="C36" i="6" s="1"/>
  <c r="CZ13" i="15"/>
  <c r="CW13" i="15"/>
  <c r="B36" i="6" s="1"/>
  <c r="O18" i="6" s="1"/>
  <c r="DH11" i="15"/>
  <c r="DH13" i="15" s="1"/>
  <c r="DH14" i="15"/>
  <c r="DH15" i="15"/>
  <c r="DI14" i="15"/>
  <c r="DI15" i="15"/>
  <c r="DI11" i="15"/>
  <c r="DI13" i="15" s="1"/>
  <c r="DJ15" i="15"/>
  <c r="DJ11" i="15"/>
  <c r="DJ13" i="15" s="1"/>
  <c r="DJ14" i="15"/>
  <c r="DE13" i="15" l="1"/>
  <c r="F34" i="6"/>
  <c r="G34" i="6" s="1"/>
  <c r="G36" i="6" s="1"/>
  <c r="DM11" i="15"/>
  <c r="DM13" i="15" s="1"/>
  <c r="F36" i="6" l="1"/>
  <c r="O19" i="6" s="1"/>
  <c r="J36" i="6"/>
  <c r="O20" i="6" s="1"/>
  <c r="F11" i="15"/>
  <c r="J34" i="6"/>
  <c r="K34" i="6" s="1"/>
  <c r="K36" i="6" s="1"/>
  <c r="F13" i="15"/>
</calcChain>
</file>

<file path=xl/sharedStrings.xml><?xml version="1.0" encoding="utf-8"?>
<sst xmlns="http://schemas.openxmlformats.org/spreadsheetml/2006/main" count="222" uniqueCount="82">
  <si>
    <t>Mo</t>
  </si>
  <si>
    <t>Di</t>
  </si>
  <si>
    <t>Mi</t>
  </si>
  <si>
    <t>Do</t>
  </si>
  <si>
    <t>Fr</t>
  </si>
  <si>
    <t>w
m</t>
  </si>
  <si>
    <t>Name Kinder</t>
  </si>
  <si>
    <t>Total</t>
  </si>
  <si>
    <t>Auslastung in %</t>
  </si>
  <si>
    <t>Geb.</t>
  </si>
  <si>
    <t>Soll-Plätze</t>
  </si>
  <si>
    <t>Ist - Betreuungsplätze</t>
  </si>
  <si>
    <t xml:space="preserve">Auslastung in % </t>
  </si>
  <si>
    <t>S/P</t>
  </si>
  <si>
    <t>Bemerkung</t>
  </si>
  <si>
    <t xml:space="preserve">Anzahl Kinder </t>
  </si>
  <si>
    <t>Anzahl Säuglinge</t>
  </si>
  <si>
    <t>Chronologischer Eingang der Elternwünsche:</t>
  </si>
  <si>
    <t>Status:</t>
  </si>
  <si>
    <t>Wer:</t>
  </si>
  <si>
    <t>Vorname</t>
  </si>
  <si>
    <t>Name</t>
  </si>
  <si>
    <t>Kontakt</t>
  </si>
  <si>
    <t>Wunsch</t>
  </si>
  <si>
    <t>Gemeldet:</t>
  </si>
  <si>
    <t>Mai</t>
  </si>
  <si>
    <t>Juni</t>
  </si>
  <si>
    <t>Juli</t>
  </si>
  <si>
    <t>August</t>
  </si>
  <si>
    <t>Status</t>
  </si>
  <si>
    <t>Bearbeitung</t>
  </si>
  <si>
    <t>Zur Information für Gruppen</t>
  </si>
  <si>
    <t>Auslastung Total</t>
  </si>
  <si>
    <t>monatliche Auslastung</t>
  </si>
  <si>
    <t>Kita-Name</t>
  </si>
  <si>
    <t>Farbe</t>
  </si>
  <si>
    <t>Jahr</t>
  </si>
  <si>
    <t>Anzahl Kinder</t>
  </si>
  <si>
    <t>Gruppenname</t>
  </si>
  <si>
    <t>Soll Plätze</t>
  </si>
  <si>
    <t>Jan</t>
  </si>
  <si>
    <t>Feb</t>
  </si>
  <si>
    <t>Mär</t>
  </si>
  <si>
    <t>Apr</t>
  </si>
  <si>
    <t>Sep</t>
  </si>
  <si>
    <t>Okt</t>
  </si>
  <si>
    <t>Nov</t>
  </si>
  <si>
    <t>Dez</t>
  </si>
  <si>
    <t>Februar</t>
  </si>
  <si>
    <t>März</t>
  </si>
  <si>
    <t>September</t>
  </si>
  <si>
    <t>Dezember</t>
  </si>
  <si>
    <t>November</t>
  </si>
  <si>
    <t>Änderungen</t>
  </si>
  <si>
    <t>Beschreibung</t>
  </si>
  <si>
    <t>Passwort</t>
  </si>
  <si>
    <t>Makros</t>
  </si>
  <si>
    <t>Tastenkürzel</t>
  </si>
  <si>
    <t>Jahresbelegung_erstellen</t>
  </si>
  <si>
    <t>Monat_Fuellen</t>
  </si>
  <si>
    <t>Person_Hinzufuegen</t>
  </si>
  <si>
    <t>Person_Entfernen</t>
  </si>
  <si>
    <t>Ctrl + q</t>
  </si>
  <si>
    <t>Ctrl + Shift + N</t>
  </si>
  <si>
    <t>Ctrl + Shift + D</t>
  </si>
  <si>
    <t>-</t>
  </si>
  <si>
    <t>Fülle die Spalten B2, B3, B4 und in der Tabelle A7 bis D7 für jede Gruppe eine Zeile aus. Anschliessend erstellst du über den Button "Belegung erstellen" alle nötigen Blätter für deine Belegungsliste.</t>
  </si>
  <si>
    <t>Du kannst in den Gruppenblätter mit Ctrl + Shift + N eine neue Zeile einfügen. Einfach eine Zelle anklicken und das Makro fügt darunter eine neue Zeile ein und kopiert alle Formen von der übergeordneten Zeile.</t>
  </si>
  <si>
    <t>Du kannst mit Ctrl + Shift + D die aktive Zeile löschen, falls du eine Person aus der Liste entfernen möchtest</t>
  </si>
  <si>
    <t>Neues Makro um Belegung zu erstellen und Person zu entfernen.</t>
  </si>
  <si>
    <t>Falls du in den Gruppenblätter wieder die korrekte Formen anlegen möchtest, kannst du dies mit Ctrl + q machen. Wähle anschliessend den gewünschten Bereich und das Makro füllt die Formen wieder korrekt ein.</t>
  </si>
  <si>
    <t>Monat</t>
  </si>
  <si>
    <t>Diagramm im Tabblatt Total_Auslastung</t>
  </si>
  <si>
    <t>Korrektur in Kinderzahlen, Babies werden nach vollendetem 18 Lebensmonat als Kinder umgerechnet.</t>
  </si>
  <si>
    <t>Sortieren</t>
  </si>
  <si>
    <t>Ctrl + Shift + S</t>
  </si>
  <si>
    <t>Öffnet das Sortier-Fenster für die markierten Zeilen</t>
  </si>
  <si>
    <t>Neues Makro zum Sortieren / Makros entfernen und setzen wieder Passwort / Default Passwort definiert</t>
  </si>
  <si>
    <t>Alter</t>
  </si>
  <si>
    <t>Eintritt</t>
  </si>
  <si>
    <t>Austritt</t>
  </si>
  <si>
    <t>Ein- und Austritte bei Kinder, entfernt 1 nach Austritte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</si>
</sst>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m/yy;@"/>
  </numFmts>
  <fonts count="16" x14ac:knownFonts="1">
    <font>
      <sz val="10"/>
      <name val="Arial"/>
    </font>
    <font>
      <sz val="10"/>
      <color indexed="8"/>
      <name val="Arial"/>
      <family val="2"/>
    </font>
    <font>
      <sz val="8"/>
      <name val="Arial"/>
      <family val="2"/>
    </font>
    <font>
      <b/>
      <sz val="10"/>
      <name val="Arial"/>
      <family val="2"/>
    </font>
    <font>
      <sz val="10"/>
      <name val="Arial"/>
      <family val="2"/>
    </font>
    <font>
      <sz val="14"/>
      <color indexed="8"/>
      <name val="Arial"/>
      <family val="2"/>
    </font>
    <font>
      <sz val="9"/>
      <color indexed="8"/>
      <name val="Arial"/>
      <family val="2"/>
    </font>
    <font>
      <b/>
      <sz val="9"/>
      <color indexed="8"/>
      <name val="Arial"/>
      <family val="2"/>
    </font>
    <font>
      <sz val="7"/>
      <name val="Arial"/>
      <family val="2"/>
    </font>
    <font>
      <b/>
      <sz val="10"/>
      <color indexed="8"/>
      <name val="Arial"/>
      <family val="2"/>
    </font>
    <font>
      <sz val="10"/>
      <color rgb="FFFF0000"/>
      <name val="Arial"/>
      <family val="2"/>
    </font>
    <font>
      <sz val="8"/>
      <color theme="1"/>
      <name val="Arial"/>
      <family val="2"/>
    </font>
    <font>
      <sz val="10"/>
      <color theme="1"/>
      <name val="Arial"/>
      <family val="2"/>
    </font>
    <font>
      <sz val="18"/>
      <color rgb="FFFF0000"/>
      <name val="Arial"/>
      <family val="2"/>
    </font>
    <font>
      <sz val="10"/>
      <color rgb="FF000000"/>
      <name val="Arial"/>
      <family val="2"/>
    </font>
    <font>
      <b/>
      <sz val="12"/>
      <name val="Arial"/>
      <family val="2"/>
    </font>
  </fonts>
  <fills count="15">
    <fill>
      <patternFill patternType="none"/>
    </fill>
    <fill>
      <patternFill patternType="gray125"/>
    </fill>
    <fill>
      <patternFill patternType="solid">
        <fgColor indexed="22"/>
        <bgColor indexed="64"/>
      </patternFill>
    </fill>
    <fill>
      <patternFill patternType="solid">
        <fgColor indexed="22"/>
        <bgColor indexed="10"/>
      </patternFill>
    </fill>
    <fill>
      <patternFill patternType="solid">
        <fgColor theme="0" tint="-0.14999847407452621"/>
        <bgColor indexed="10"/>
      </patternFill>
    </fill>
    <fill>
      <patternFill patternType="solid">
        <fgColor theme="0" tint="-0.249977111117893"/>
        <bgColor indexed="64"/>
      </patternFill>
    </fill>
    <fill>
      <patternFill patternType="solid">
        <fgColor theme="0"/>
        <bgColor indexed="64"/>
      </patternFill>
    </fill>
    <fill>
      <patternFill patternType="solid">
        <fgColor theme="7" tint="0.79998168889431442"/>
        <bgColor indexed="64"/>
      </patternFill>
    </fill>
    <fill>
      <patternFill patternType="solid">
        <fgColor theme="7" tint="0.79998168889431442"/>
        <bgColor indexed="10"/>
      </patternFill>
    </fill>
    <fill>
      <patternFill patternType="solid">
        <fgColor theme="9" tint="0.79998168889431442"/>
        <bgColor indexed="64"/>
      </patternFill>
    </fill>
    <fill>
      <patternFill patternType="solid">
        <fgColor theme="2" tint="-9.9978637043366805E-2"/>
        <bgColor indexed="10"/>
      </patternFill>
    </fill>
    <fill>
      <patternFill patternType="solid">
        <fgColor theme="0" tint="-0.14999847407452621"/>
        <bgColor indexed="64"/>
      </patternFill>
    </fill>
    <fill>
      <patternFill patternType="solid">
        <fgColor rgb="FFFFC000"/>
        <bgColor indexed="64"/>
      </patternFill>
    </fill>
    <fill>
      <patternFill patternType="solid">
        <fgColor rgb="FFFCE4D6"/>
        <bgColor indexed="64"/>
      </patternFill>
    </fill>
    <fill>
      <patternFill patternType="solid">
        <fgColor theme="0" tint="-4.9989318521683403E-2"/>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8"/>
      </top>
      <bottom style="thin">
        <color indexed="8"/>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bottom/>
      <diagonal/>
    </border>
    <border>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8"/>
      </top>
      <bottom/>
      <diagonal/>
    </border>
    <border>
      <left style="thin">
        <color indexed="8"/>
      </left>
      <right/>
      <top style="thin">
        <color indexed="8"/>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8"/>
      </top>
      <bottom style="thin">
        <color indexed="8"/>
      </bottom>
      <diagonal/>
    </border>
    <border>
      <left style="thin">
        <color indexed="8"/>
      </left>
      <right style="medium">
        <color indexed="64"/>
      </right>
      <top style="thin">
        <color indexed="8"/>
      </top>
      <bottom style="thin">
        <color indexed="8"/>
      </bottom>
      <diagonal/>
    </border>
    <border>
      <left style="thin">
        <color indexed="64"/>
      </left>
      <right/>
      <top style="thin">
        <color indexed="64"/>
      </top>
      <bottom style="thin">
        <color indexed="64"/>
      </bottom>
      <diagonal/>
    </border>
    <border>
      <left style="medium">
        <color indexed="64"/>
      </left>
      <right style="medium">
        <color indexed="64"/>
      </right>
      <top/>
      <bottom/>
      <diagonal/>
    </border>
    <border>
      <left style="thin">
        <color indexed="8"/>
      </left>
      <right style="medium">
        <color indexed="64"/>
      </right>
      <top style="thin">
        <color indexed="8"/>
      </top>
      <bottom/>
      <diagonal/>
    </border>
    <border>
      <left/>
      <right style="thin">
        <color indexed="64"/>
      </right>
      <top/>
      <bottom/>
      <diagonal/>
    </border>
  </borders>
  <cellStyleXfs count="2">
    <xf numFmtId="0" fontId="0" fillId="0" borderId="0"/>
    <xf numFmtId="0" fontId="4" fillId="0" borderId="0"/>
  </cellStyleXfs>
  <cellXfs count="201">
    <xf numFmtId="0" fontId="0" fillId="0" borderId="0" xfId="0"/>
    <xf numFmtId="0" fontId="3" fillId="2" borderId="1" xfId="0" applyFont="1" applyFill="1" applyBorder="1"/>
    <xf numFmtId="164" fontId="0" fillId="0" borderId="1" xfId="0" applyNumberFormat="1" applyBorder="1"/>
    <xf numFmtId="0" fontId="4" fillId="0" borderId="0" xfId="0" applyFont="1"/>
    <xf numFmtId="0" fontId="10" fillId="0" borderId="0" xfId="0" applyFont="1"/>
    <xf numFmtId="0" fontId="4" fillId="7" borderId="1" xfId="0" applyFont="1" applyFill="1" applyBorder="1"/>
    <xf numFmtId="0" fontId="4" fillId="9" borderId="1" xfId="0" applyFont="1" applyFill="1" applyBorder="1"/>
    <xf numFmtId="164" fontId="4" fillId="9" borderId="1" xfId="0" applyNumberFormat="1" applyFont="1" applyFill="1" applyBorder="1"/>
    <xf numFmtId="0" fontId="4" fillId="7" borderId="0" xfId="0" applyFont="1" applyFill="1"/>
    <xf numFmtId="0" fontId="4" fillId="7" borderId="7" xfId="0" applyFont="1" applyFill="1" applyBorder="1"/>
    <xf numFmtId="0" fontId="4" fillId="7" borderId="9" xfId="0" applyFont="1" applyFill="1" applyBorder="1"/>
    <xf numFmtId="0" fontId="0" fillId="7" borderId="0" xfId="0" applyFill="1"/>
    <xf numFmtId="0" fontId="0" fillId="7" borderId="9" xfId="0" applyFill="1" applyBorder="1"/>
    <xf numFmtId="0" fontId="4" fillId="9" borderId="0" xfId="0" applyFont="1" applyFill="1"/>
    <xf numFmtId="0" fontId="4" fillId="9" borderId="7" xfId="0" applyFont="1" applyFill="1" applyBorder="1"/>
    <xf numFmtId="164" fontId="4" fillId="9" borderId="7" xfId="0" applyNumberFormat="1" applyFont="1" applyFill="1" applyBorder="1"/>
    <xf numFmtId="0" fontId="4" fillId="9" borderId="9" xfId="0" applyFont="1" applyFill="1" applyBorder="1"/>
    <xf numFmtId="0" fontId="0" fillId="9" borderId="0" xfId="0" applyFill="1"/>
    <xf numFmtId="0" fontId="0" fillId="9" borderId="9" xfId="0" applyFill="1" applyBorder="1"/>
    <xf numFmtId="0" fontId="3" fillId="0" borderId="0" xfId="0" applyFont="1"/>
    <xf numFmtId="0" fontId="3" fillId="7" borderId="0" xfId="0" applyFont="1" applyFill="1"/>
    <xf numFmtId="49" fontId="3" fillId="7" borderId="0" xfId="0" applyNumberFormat="1" applyFont="1" applyFill="1"/>
    <xf numFmtId="0" fontId="4" fillId="12" borderId="0" xfId="0" applyFont="1" applyFill="1"/>
    <xf numFmtId="0" fontId="4" fillId="12" borderId="18" xfId="0" applyFont="1" applyFill="1" applyBorder="1"/>
    <xf numFmtId="0" fontId="0" fillId="12" borderId="0" xfId="0" applyFill="1"/>
    <xf numFmtId="164" fontId="0" fillId="12" borderId="1" xfId="0" applyNumberFormat="1" applyFill="1" applyBorder="1"/>
    <xf numFmtId="164" fontId="4" fillId="7" borderId="14" xfId="0" applyNumberFormat="1" applyFont="1" applyFill="1" applyBorder="1"/>
    <xf numFmtId="164" fontId="4" fillId="7" borderId="13" xfId="0" applyNumberFormat="1" applyFont="1" applyFill="1" applyBorder="1"/>
    <xf numFmtId="164" fontId="4" fillId="9" borderId="14" xfId="0" applyNumberFormat="1" applyFont="1" applyFill="1" applyBorder="1"/>
    <xf numFmtId="164" fontId="4" fillId="9" borderId="13" xfId="0" applyNumberFormat="1" applyFont="1" applyFill="1" applyBorder="1"/>
    <xf numFmtId="0" fontId="4" fillId="0" borderId="5" xfId="0" applyFont="1" applyBorder="1"/>
    <xf numFmtId="2" fontId="2" fillId="6" borderId="24" xfId="0" applyNumberFormat="1" applyFont="1" applyFill="1" applyBorder="1" applyAlignment="1">
      <alignment horizontal="left"/>
    </xf>
    <xf numFmtId="0" fontId="0" fillId="7" borderId="1" xfId="0" applyFill="1" applyBorder="1"/>
    <xf numFmtId="164" fontId="3" fillId="7" borderId="1" xfId="0" applyNumberFormat="1" applyFont="1" applyFill="1" applyBorder="1"/>
    <xf numFmtId="0" fontId="0" fillId="7" borderId="7" xfId="0" applyFill="1" applyBorder="1"/>
    <xf numFmtId="0" fontId="0" fillId="9" borderId="1" xfId="0" applyFill="1" applyBorder="1"/>
    <xf numFmtId="0" fontId="0" fillId="9" borderId="7" xfId="0" applyFill="1" applyBorder="1"/>
    <xf numFmtId="0" fontId="4" fillId="0" borderId="25" xfId="0" applyFont="1" applyBorder="1"/>
    <xf numFmtId="164" fontId="4" fillId="0" borderId="25" xfId="0" applyNumberFormat="1" applyFont="1" applyBorder="1"/>
    <xf numFmtId="0" fontId="0" fillId="0" borderId="25" xfId="0" applyBorder="1"/>
    <xf numFmtId="164" fontId="3" fillId="9" borderId="1" xfId="0" applyNumberFormat="1" applyFont="1" applyFill="1" applyBorder="1"/>
    <xf numFmtId="0" fontId="0" fillId="0" borderId="5" xfId="0" applyBorder="1"/>
    <xf numFmtId="164" fontId="4" fillId="0" borderId="5" xfId="0" applyNumberFormat="1" applyFont="1" applyBorder="1"/>
    <xf numFmtId="164" fontId="6" fillId="3" borderId="8" xfId="0" applyNumberFormat="1" applyFont="1" applyFill="1" applyBorder="1"/>
    <xf numFmtId="164" fontId="3" fillId="2" borderId="8" xfId="0" applyNumberFormat="1" applyFont="1" applyFill="1" applyBorder="1"/>
    <xf numFmtId="164" fontId="9" fillId="0" borderId="5" xfId="0" applyNumberFormat="1" applyFont="1" applyBorder="1"/>
    <xf numFmtId="164" fontId="1" fillId="8" borderId="7" xfId="0" applyNumberFormat="1" applyFont="1" applyFill="1" applyBorder="1"/>
    <xf numFmtId="164" fontId="1" fillId="8" borderId="1" xfId="0" applyNumberFormat="1" applyFont="1" applyFill="1" applyBorder="1"/>
    <xf numFmtId="164" fontId="1" fillId="7" borderId="1" xfId="0" applyNumberFormat="1" applyFont="1" applyFill="1" applyBorder="1"/>
    <xf numFmtId="164" fontId="9" fillId="0" borderId="25" xfId="0" applyNumberFormat="1" applyFont="1" applyBorder="1"/>
    <xf numFmtId="0" fontId="2" fillId="6" borderId="4" xfId="0" applyFont="1" applyFill="1" applyBorder="1" applyProtection="1">
      <protection locked="0"/>
    </xf>
    <xf numFmtId="165" fontId="2" fillId="6" borderId="1" xfId="0" applyNumberFormat="1" applyFont="1" applyFill="1" applyBorder="1" applyAlignment="1" applyProtection="1">
      <alignment horizontal="left"/>
      <protection locked="0"/>
    </xf>
    <xf numFmtId="0" fontId="11" fillId="11" borderId="8" xfId="0" applyFont="1" applyFill="1" applyBorder="1" applyProtection="1">
      <protection locked="0"/>
    </xf>
    <xf numFmtId="0" fontId="11" fillId="0" borderId="9" xfId="0" applyFont="1" applyBorder="1" applyProtection="1">
      <protection locked="0"/>
    </xf>
    <xf numFmtId="2" fontId="2" fillId="9" borderId="7" xfId="0" applyNumberFormat="1" applyFont="1" applyFill="1" applyBorder="1" applyAlignment="1" applyProtection="1">
      <alignment horizontal="center"/>
      <protection locked="0"/>
    </xf>
    <xf numFmtId="2" fontId="2" fillId="9" borderId="1" xfId="0" applyNumberFormat="1" applyFont="1" applyFill="1" applyBorder="1" applyAlignment="1" applyProtection="1">
      <alignment horizontal="center"/>
      <protection locked="0"/>
    </xf>
    <xf numFmtId="0" fontId="2" fillId="9" borderId="1" xfId="0" applyFont="1" applyFill="1" applyBorder="1" applyAlignment="1" applyProtection="1">
      <alignment horizontal="left" vertical="center"/>
      <protection locked="0"/>
    </xf>
    <xf numFmtId="0" fontId="2" fillId="9" borderId="8" xfId="0" applyFont="1" applyFill="1" applyBorder="1" applyAlignment="1" applyProtection="1">
      <alignment horizontal="left" vertical="center"/>
      <protection locked="0"/>
    </xf>
    <xf numFmtId="0" fontId="11" fillId="0" borderId="5" xfId="0" applyFont="1" applyBorder="1" applyProtection="1">
      <protection locked="0"/>
    </xf>
    <xf numFmtId="2" fontId="2" fillId="7" borderId="7" xfId="0" applyNumberFormat="1" applyFont="1" applyFill="1" applyBorder="1" applyAlignment="1" applyProtection="1">
      <alignment horizontal="center"/>
      <protection locked="0"/>
    </xf>
    <xf numFmtId="2" fontId="2" fillId="7" borderId="1" xfId="0" applyNumberFormat="1" applyFont="1" applyFill="1" applyBorder="1" applyAlignment="1" applyProtection="1">
      <alignment horizontal="center"/>
      <protection locked="0"/>
    </xf>
    <xf numFmtId="0" fontId="2" fillId="7" borderId="1" xfId="0" applyFont="1" applyFill="1" applyBorder="1" applyAlignment="1" applyProtection="1">
      <alignment horizontal="left" vertical="center"/>
      <protection locked="0"/>
    </xf>
    <xf numFmtId="0" fontId="2" fillId="7" borderId="8" xfId="0" applyFont="1" applyFill="1" applyBorder="1" applyAlignment="1" applyProtection="1">
      <alignment horizontal="left" vertical="center"/>
      <protection locked="0"/>
    </xf>
    <xf numFmtId="0" fontId="11" fillId="0" borderId="25" xfId="0" applyFont="1" applyBorder="1" applyProtection="1">
      <protection locked="0"/>
    </xf>
    <xf numFmtId="0" fontId="0" fillId="0" borderId="0" xfId="0" applyProtection="1">
      <protection locked="0"/>
    </xf>
    <xf numFmtId="0" fontId="4" fillId="0" borderId="0" xfId="0" applyFont="1" applyProtection="1">
      <protection locked="0"/>
    </xf>
    <xf numFmtId="0" fontId="5" fillId="0" borderId="0" xfId="0" applyFont="1" applyProtection="1">
      <protection locked="0"/>
    </xf>
    <xf numFmtId="0" fontId="6" fillId="0" borderId="0" xfId="0" applyFont="1" applyProtection="1">
      <protection locked="0"/>
    </xf>
    <xf numFmtId="49" fontId="4" fillId="0" borderId="19" xfId="0" applyNumberFormat="1" applyFont="1" applyBorder="1" applyAlignment="1" applyProtection="1">
      <alignment horizontal="center"/>
      <protection locked="0"/>
    </xf>
    <xf numFmtId="0" fontId="4" fillId="0" borderId="20" xfId="0" applyFont="1" applyBorder="1" applyProtection="1">
      <protection locked="0"/>
    </xf>
    <xf numFmtId="0" fontId="4" fillId="0" borderId="21" xfId="0" applyFont="1" applyBorder="1" applyProtection="1">
      <protection locked="0"/>
    </xf>
    <xf numFmtId="0" fontId="6" fillId="0" borderId="5" xfId="0" applyFont="1" applyBorder="1" applyProtection="1">
      <protection locked="0"/>
    </xf>
    <xf numFmtId="0" fontId="6" fillId="0" borderId="9" xfId="0" applyFont="1" applyBorder="1" applyProtection="1">
      <protection locked="0"/>
    </xf>
    <xf numFmtId="0" fontId="6" fillId="9" borderId="5" xfId="0" applyFont="1" applyFill="1" applyBorder="1" applyProtection="1">
      <protection locked="0"/>
    </xf>
    <xf numFmtId="0" fontId="6" fillId="9" borderId="0" xfId="0" applyFont="1" applyFill="1" applyProtection="1">
      <protection locked="0"/>
    </xf>
    <xf numFmtId="0" fontId="4" fillId="9" borderId="0" xfId="0" applyFont="1" applyFill="1" applyProtection="1">
      <protection locked="0"/>
    </xf>
    <xf numFmtId="0" fontId="4" fillId="9" borderId="6" xfId="0" applyFont="1" applyFill="1" applyBorder="1" applyProtection="1">
      <protection locked="0"/>
    </xf>
    <xf numFmtId="0" fontId="6" fillId="7" borderId="5" xfId="0" applyFont="1" applyFill="1" applyBorder="1" applyProtection="1">
      <protection locked="0"/>
    </xf>
    <xf numFmtId="0" fontId="6" fillId="7" borderId="0" xfId="0" applyFont="1" applyFill="1" applyProtection="1">
      <protection locked="0"/>
    </xf>
    <xf numFmtId="0" fontId="4" fillId="7" borderId="0" xfId="0" applyFont="1" applyFill="1" applyProtection="1">
      <protection locked="0"/>
    </xf>
    <xf numFmtId="0" fontId="4" fillId="7" borderId="6" xfId="0" applyFont="1" applyFill="1" applyBorder="1" applyProtection="1">
      <protection locked="0"/>
    </xf>
    <xf numFmtId="0" fontId="6" fillId="0" borderId="25" xfId="0" applyFont="1" applyBorder="1" applyProtection="1">
      <protection locked="0"/>
    </xf>
    <xf numFmtId="0" fontId="7" fillId="4" borderId="22" xfId="0" applyFont="1" applyFill="1" applyBorder="1" applyProtection="1">
      <protection locked="0"/>
    </xf>
    <xf numFmtId="0" fontId="7" fillId="4" borderId="2" xfId="0" applyFont="1" applyFill="1" applyBorder="1" applyProtection="1">
      <protection locked="0"/>
    </xf>
    <xf numFmtId="0" fontId="7" fillId="4" borderId="23" xfId="0" applyFont="1" applyFill="1" applyBorder="1" applyAlignment="1" applyProtection="1">
      <alignment wrapText="1"/>
      <protection locked="0"/>
    </xf>
    <xf numFmtId="0" fontId="7" fillId="0" borderId="9" xfId="0" applyFont="1" applyBorder="1" applyAlignment="1" applyProtection="1">
      <alignment wrapText="1"/>
      <protection locked="0"/>
    </xf>
    <xf numFmtId="0" fontId="7" fillId="10" borderId="16" xfId="0" applyFont="1" applyFill="1" applyBorder="1" applyProtection="1">
      <protection locked="0"/>
    </xf>
    <xf numFmtId="0" fontId="7" fillId="10" borderId="17" xfId="0" applyFont="1" applyFill="1" applyBorder="1" applyProtection="1">
      <protection locked="0"/>
    </xf>
    <xf numFmtId="0" fontId="7" fillId="10" borderId="1" xfId="0" applyFont="1" applyFill="1" applyBorder="1" applyProtection="1">
      <protection locked="0"/>
    </xf>
    <xf numFmtId="0" fontId="7" fillId="10" borderId="8" xfId="0" applyFont="1" applyFill="1" applyBorder="1" applyProtection="1">
      <protection locked="0"/>
    </xf>
    <xf numFmtId="0" fontId="7" fillId="0" borderId="5" xfId="0" applyFont="1" applyBorder="1" applyAlignment="1" applyProtection="1">
      <alignment wrapText="1"/>
      <protection locked="0"/>
    </xf>
    <xf numFmtId="0" fontId="7" fillId="0" borderId="25" xfId="0" applyFont="1" applyBorder="1" applyAlignment="1" applyProtection="1">
      <alignment wrapText="1"/>
      <protection locked="0"/>
    </xf>
    <xf numFmtId="0" fontId="7" fillId="10" borderId="26" xfId="0" applyFont="1" applyFill="1" applyBorder="1" applyProtection="1">
      <protection locked="0"/>
    </xf>
    <xf numFmtId="0" fontId="4" fillId="11" borderId="7" xfId="0" applyFont="1" applyFill="1" applyBorder="1" applyProtection="1">
      <protection locked="0"/>
    </xf>
    <xf numFmtId="0" fontId="6" fillId="4" borderId="1" xfId="0" applyFont="1" applyFill="1" applyBorder="1" applyProtection="1">
      <protection locked="0"/>
    </xf>
    <xf numFmtId="0" fontId="7" fillId="4" borderId="8" xfId="0" applyFont="1" applyFill="1" applyBorder="1" applyProtection="1">
      <protection locked="0"/>
    </xf>
    <xf numFmtId="0" fontId="7" fillId="0" borderId="9" xfId="0" applyFont="1" applyBorder="1" applyProtection="1">
      <protection locked="0"/>
    </xf>
    <xf numFmtId="0" fontId="6" fillId="11" borderId="7" xfId="0" applyFont="1" applyFill="1" applyBorder="1" applyProtection="1">
      <protection locked="0"/>
    </xf>
    <xf numFmtId="0" fontId="6" fillId="11" borderId="1" xfId="0" applyFont="1" applyFill="1" applyBorder="1" applyProtection="1">
      <protection locked="0"/>
    </xf>
    <xf numFmtId="0" fontId="7" fillId="11" borderId="1" xfId="0" applyFont="1" applyFill="1" applyBorder="1" applyProtection="1">
      <protection locked="0"/>
    </xf>
    <xf numFmtId="0" fontId="4" fillId="11" borderId="1" xfId="0" applyFont="1" applyFill="1" applyBorder="1" applyProtection="1">
      <protection locked="0"/>
    </xf>
    <xf numFmtId="0" fontId="0" fillId="11" borderId="8" xfId="0" applyFill="1" applyBorder="1" applyProtection="1">
      <protection locked="0"/>
    </xf>
    <xf numFmtId="0" fontId="7" fillId="0" borderId="5" xfId="0" applyFont="1" applyBorder="1" applyProtection="1">
      <protection locked="0"/>
    </xf>
    <xf numFmtId="0" fontId="4" fillId="11" borderId="15" xfId="0" applyFont="1" applyFill="1" applyBorder="1" applyProtection="1">
      <protection locked="0"/>
    </xf>
    <xf numFmtId="0" fontId="7" fillId="0" borderId="25" xfId="0" applyFont="1" applyBorder="1" applyProtection="1">
      <protection locked="0"/>
    </xf>
    <xf numFmtId="0" fontId="8" fillId="5" borderId="3" xfId="0" applyFont="1" applyFill="1" applyBorder="1" applyProtection="1">
      <protection locked="0"/>
    </xf>
    <xf numFmtId="0" fontId="6" fillId="3" borderId="1" xfId="0" applyFont="1" applyFill="1" applyBorder="1" applyProtection="1">
      <protection locked="0"/>
    </xf>
    <xf numFmtId="164" fontId="7" fillId="0" borderId="9" xfId="0" applyNumberFormat="1" applyFont="1" applyBorder="1" applyProtection="1">
      <protection locked="0"/>
    </xf>
    <xf numFmtId="0" fontId="4" fillId="9" borderId="8" xfId="0" applyFont="1" applyFill="1" applyBorder="1" applyProtection="1">
      <protection locked="0"/>
    </xf>
    <xf numFmtId="0" fontId="4" fillId="7" borderId="8" xfId="0" applyFont="1" applyFill="1" applyBorder="1" applyProtection="1">
      <protection locked="0"/>
    </xf>
    <xf numFmtId="164" fontId="7" fillId="0" borderId="5" xfId="0" applyNumberFormat="1" applyFont="1" applyBorder="1" applyProtection="1">
      <protection locked="0"/>
    </xf>
    <xf numFmtId="0" fontId="4" fillId="0" borderId="7" xfId="0" applyFont="1" applyBorder="1" applyProtection="1">
      <protection locked="0"/>
    </xf>
    <xf numFmtId="0" fontId="4" fillId="0" borderId="9" xfId="0" applyFont="1" applyBorder="1" applyProtection="1">
      <protection locked="0"/>
    </xf>
    <xf numFmtId="0" fontId="4" fillId="0" borderId="5" xfId="0" applyFont="1" applyBorder="1" applyProtection="1">
      <protection locked="0"/>
    </xf>
    <xf numFmtId="0" fontId="4" fillId="5" borderId="7" xfId="0" applyFont="1" applyFill="1" applyBorder="1" applyProtection="1">
      <protection locked="0"/>
    </xf>
    <xf numFmtId="0" fontId="4" fillId="5" borderId="1" xfId="0" applyFont="1" applyFill="1" applyBorder="1" applyProtection="1">
      <protection locked="0"/>
    </xf>
    <xf numFmtId="164" fontId="4" fillId="0" borderId="9" xfId="0" applyNumberFormat="1" applyFont="1" applyBorder="1" applyProtection="1">
      <protection locked="0"/>
    </xf>
    <xf numFmtId="164" fontId="4" fillId="0" borderId="5" xfId="0" applyNumberFormat="1" applyFont="1" applyBorder="1" applyProtection="1">
      <protection locked="0"/>
    </xf>
    <xf numFmtId="0" fontId="4" fillId="9" borderId="9" xfId="0" applyFont="1" applyFill="1" applyBorder="1" applyProtection="1">
      <protection locked="0"/>
    </xf>
    <xf numFmtId="0" fontId="0" fillId="0" borderId="9" xfId="0" applyBorder="1" applyProtection="1">
      <protection locked="0"/>
    </xf>
    <xf numFmtId="0" fontId="0" fillId="0" borderId="5" xfId="0" applyBorder="1" applyProtection="1">
      <protection locked="0"/>
    </xf>
    <xf numFmtId="0" fontId="0" fillId="0" borderId="25" xfId="0" applyBorder="1" applyProtection="1">
      <protection locked="0"/>
    </xf>
    <xf numFmtId="0" fontId="0" fillId="0" borderId="10" xfId="0" applyBorder="1" applyProtection="1">
      <protection locked="0"/>
    </xf>
    <xf numFmtId="0" fontId="0" fillId="0" borderId="11" xfId="0" applyBorder="1" applyProtection="1">
      <protection locked="0"/>
    </xf>
    <xf numFmtId="0" fontId="0" fillId="0" borderId="12" xfId="0" applyBorder="1" applyProtection="1">
      <protection locked="0"/>
    </xf>
    <xf numFmtId="0" fontId="10" fillId="9" borderId="10" xfId="0" applyFont="1" applyFill="1" applyBorder="1" applyProtection="1">
      <protection locked="0"/>
    </xf>
    <xf numFmtId="0" fontId="0" fillId="9" borderId="11" xfId="0" applyFill="1" applyBorder="1" applyProtection="1">
      <protection locked="0"/>
    </xf>
    <xf numFmtId="17" fontId="0" fillId="9" borderId="12" xfId="0" applyNumberFormat="1" applyFill="1" applyBorder="1" applyProtection="1">
      <protection locked="0"/>
    </xf>
    <xf numFmtId="0" fontId="0" fillId="7" borderId="10" xfId="0" applyFill="1" applyBorder="1" applyProtection="1">
      <protection locked="0"/>
    </xf>
    <xf numFmtId="0" fontId="0" fillId="7" borderId="11" xfId="0" applyFill="1" applyBorder="1" applyProtection="1">
      <protection locked="0"/>
    </xf>
    <xf numFmtId="17" fontId="0" fillId="7" borderId="12" xfId="0" applyNumberFormat="1" applyFill="1" applyBorder="1" applyProtection="1">
      <protection locked="0"/>
    </xf>
    <xf numFmtId="0" fontId="0" fillId="9" borderId="10" xfId="0" applyFill="1" applyBorder="1" applyProtection="1">
      <protection locked="0"/>
    </xf>
    <xf numFmtId="0" fontId="4" fillId="0" borderId="8" xfId="0" applyFont="1" applyBorder="1" applyProtection="1">
      <protection locked="0"/>
    </xf>
    <xf numFmtId="0" fontId="6" fillId="4" borderId="24" xfId="0" applyFont="1" applyFill="1" applyBorder="1" applyProtection="1">
      <protection locked="0"/>
    </xf>
    <xf numFmtId="0" fontId="6" fillId="3" borderId="24" xfId="0" applyFont="1" applyFill="1" applyBorder="1" applyProtection="1">
      <protection locked="0"/>
    </xf>
    <xf numFmtId="0" fontId="4" fillId="5" borderId="24" xfId="0" applyFont="1" applyFill="1" applyBorder="1" applyProtection="1">
      <protection locked="0"/>
    </xf>
    <xf numFmtId="0" fontId="0" fillId="12" borderId="27" xfId="0" applyFill="1" applyBorder="1"/>
    <xf numFmtId="0" fontId="4" fillId="12" borderId="27" xfId="0" applyFont="1" applyFill="1" applyBorder="1"/>
    <xf numFmtId="0" fontId="3" fillId="0" borderId="1" xfId="0" applyFont="1" applyBorder="1"/>
    <xf numFmtId="0" fontId="2" fillId="7" borderId="15" xfId="0" applyFont="1" applyFill="1" applyBorder="1" applyAlignment="1" applyProtection="1">
      <alignment horizontal="left" vertical="center"/>
      <protection locked="0"/>
    </xf>
    <xf numFmtId="0" fontId="2" fillId="9" borderId="15" xfId="0" applyFont="1" applyFill="1" applyBorder="1" applyAlignment="1" applyProtection="1">
      <alignment horizontal="left" vertical="center"/>
      <protection locked="0"/>
    </xf>
    <xf numFmtId="0" fontId="4" fillId="0" borderId="0" xfId="0" applyFont="1" applyAlignment="1">
      <alignment horizontal="left"/>
    </xf>
    <xf numFmtId="0" fontId="4" fillId="0" borderId="0" xfId="1"/>
    <xf numFmtId="0" fontId="13" fillId="0" borderId="0" xfId="1" applyFont="1"/>
    <xf numFmtId="49" fontId="4" fillId="0" borderId="19" xfId="1" applyNumberFormat="1" applyBorder="1" applyAlignment="1">
      <alignment vertical="top"/>
    </xf>
    <xf numFmtId="49" fontId="4" fillId="0" borderId="20" xfId="1" applyNumberFormat="1" applyBorder="1" applyAlignment="1">
      <alignment vertical="top"/>
    </xf>
    <xf numFmtId="49" fontId="4" fillId="0" borderId="21" xfId="1" applyNumberFormat="1" applyBorder="1" applyAlignment="1">
      <alignment vertical="top"/>
    </xf>
    <xf numFmtId="49" fontId="4" fillId="0" borderId="0" xfId="1" applyNumberFormat="1" applyAlignment="1">
      <alignment vertical="top"/>
    </xf>
    <xf numFmtId="49" fontId="4" fillId="0" borderId="5" xfId="1" applyNumberFormat="1" applyBorder="1" applyAlignment="1">
      <alignment vertical="top"/>
    </xf>
    <xf numFmtId="49" fontId="4" fillId="0" borderId="9" xfId="1" applyNumberFormat="1" applyBorder="1" applyAlignment="1">
      <alignment vertical="top"/>
    </xf>
    <xf numFmtId="49" fontId="4" fillId="7" borderId="5" xfId="1" applyNumberFormat="1" applyFill="1" applyBorder="1" applyAlignment="1">
      <alignment vertical="top"/>
    </xf>
    <xf numFmtId="49" fontId="4" fillId="7" borderId="9" xfId="1" applyNumberFormat="1" applyFill="1" applyBorder="1" applyAlignment="1">
      <alignment vertical="top" wrapText="1"/>
    </xf>
    <xf numFmtId="49" fontId="4" fillId="7" borderId="9" xfId="1" applyNumberFormat="1" applyFill="1" applyBorder="1" applyAlignment="1">
      <alignment vertical="top"/>
    </xf>
    <xf numFmtId="0" fontId="4" fillId="7" borderId="9" xfId="1" applyFill="1" applyBorder="1"/>
    <xf numFmtId="49" fontId="4" fillId="0" borderId="10" xfId="1" applyNumberFormat="1" applyBorder="1" applyAlignment="1">
      <alignment vertical="top"/>
    </xf>
    <xf numFmtId="49" fontId="4" fillId="0" borderId="11" xfId="1" applyNumberFormat="1" applyBorder="1" applyAlignment="1">
      <alignment vertical="top"/>
    </xf>
    <xf numFmtId="49" fontId="4" fillId="0" borderId="12" xfId="1" applyNumberFormat="1" applyBorder="1" applyAlignment="1">
      <alignment vertical="top"/>
    </xf>
    <xf numFmtId="0" fontId="4" fillId="13" borderId="9" xfId="1" applyFill="1" applyBorder="1" applyAlignment="1">
      <alignment vertical="top"/>
    </xf>
    <xf numFmtId="0" fontId="4" fillId="13" borderId="0" xfId="1" applyFill="1" applyAlignment="1">
      <alignment vertical="top"/>
    </xf>
    <xf numFmtId="49" fontId="4" fillId="7" borderId="0" xfId="1" applyNumberFormat="1" applyFill="1" applyAlignment="1">
      <alignment vertical="top" wrapText="1"/>
    </xf>
    <xf numFmtId="0" fontId="4" fillId="7" borderId="0" xfId="1" applyFill="1"/>
    <xf numFmtId="49" fontId="4" fillId="7" borderId="0" xfId="1" applyNumberFormat="1" applyFill="1" applyAlignment="1">
      <alignment vertical="top"/>
    </xf>
    <xf numFmtId="0" fontId="4" fillId="0" borderId="5" xfId="1" applyBorder="1"/>
    <xf numFmtId="49" fontId="10" fillId="7" borderId="0" xfId="1" applyNumberFormat="1" applyFont="1" applyFill="1" applyAlignment="1">
      <alignment vertical="top"/>
    </xf>
    <xf numFmtId="49" fontId="12" fillId="7" borderId="0" xfId="1" applyNumberFormat="1" applyFont="1" applyFill="1" applyAlignment="1">
      <alignment vertical="top"/>
    </xf>
    <xf numFmtId="0" fontId="10" fillId="7" borderId="0" xfId="1" applyFont="1" applyFill="1"/>
    <xf numFmtId="0" fontId="0" fillId="13" borderId="0" xfId="0" applyFill="1"/>
    <xf numFmtId="0" fontId="3" fillId="13" borderId="0" xfId="0" applyFont="1" applyFill="1"/>
    <xf numFmtId="0" fontId="3" fillId="13" borderId="27" xfId="0" applyFont="1" applyFill="1" applyBorder="1"/>
    <xf numFmtId="0" fontId="3" fillId="13" borderId="18" xfId="0" applyFont="1" applyFill="1" applyBorder="1"/>
    <xf numFmtId="0" fontId="0" fillId="0" borderId="0" xfId="0" applyAlignment="1">
      <alignment wrapText="1"/>
    </xf>
    <xf numFmtId="0" fontId="15" fillId="0" borderId="0" xfId="0" applyFont="1"/>
    <xf numFmtId="0" fontId="4" fillId="0" borderId="1" xfId="0" applyFont="1" applyBorder="1" applyProtection="1">
      <protection locked="0"/>
    </xf>
    <xf numFmtId="0" fontId="0" fillId="0" borderId="1" xfId="0" applyBorder="1" applyProtection="1">
      <protection locked="0"/>
    </xf>
    <xf numFmtId="0" fontId="0" fillId="0" borderId="0" xfId="0" applyAlignment="1">
      <alignment vertical="top"/>
    </xf>
    <xf numFmtId="0" fontId="4" fillId="0" borderId="0" xfId="0" applyFont="1" applyAlignment="1">
      <alignment vertical="top"/>
    </xf>
    <xf numFmtId="0" fontId="4" fillId="0" borderId="0" xfId="0" applyFont="1" applyAlignment="1">
      <alignment vertical="top" wrapText="1"/>
    </xf>
    <xf numFmtId="14" fontId="0" fillId="0" borderId="0" xfId="0" applyNumberFormat="1" applyAlignment="1">
      <alignment vertical="top"/>
    </xf>
    <xf numFmtId="0" fontId="4" fillId="14" borderId="0" xfId="0" applyFont="1" applyFill="1" applyProtection="1">
      <protection locked="0"/>
    </xf>
    <xf numFmtId="0" fontId="0" fillId="14" borderId="0" xfId="0" applyFill="1" applyProtection="1">
      <protection locked="0"/>
    </xf>
    <xf numFmtId="164" fontId="0" fillId="0" borderId="0" xfId="0" applyNumberFormat="1"/>
    <xf numFmtId="0" fontId="10" fillId="0" borderId="1" xfId="0" applyFont="1" applyBorder="1" applyProtection="1">
      <protection locked="0"/>
    </xf>
    <xf numFmtId="0" fontId="3" fillId="0" borderId="1" xfId="0" applyFont="1" applyBorder="1" applyProtection="1">
      <protection locked="0"/>
    </xf>
    <xf numFmtId="14" fontId="0" fillId="0" borderId="0" xfId="0" applyNumberFormat="1"/>
    <xf numFmtId="0" fontId="4" fillId="0" borderId="0" xfId="0" applyFont="1" applyAlignment="1">
      <alignment wrapText="1"/>
    </xf>
    <xf numFmtId="49" fontId="4" fillId="0" borderId="5" xfId="0" applyNumberFormat="1" applyFont="1" applyBorder="1" applyAlignment="1" applyProtection="1">
      <alignment horizontal="center"/>
      <protection locked="0"/>
    </xf>
    <xf numFmtId="0" fontId="9" fillId="9" borderId="5" xfId="0" applyFont="1" applyFill="1" applyBorder="1" applyAlignment="1">
      <alignment horizontal="center"/>
    </xf>
    <xf numFmtId="0" fontId="9" fillId="9" borderId="0" xfId="0" applyFont="1" applyFill="1" applyAlignment="1">
      <alignment horizontal="center"/>
    </xf>
    <xf numFmtId="0" fontId="9" fillId="9" borderId="9" xfId="0" applyFont="1" applyFill="1" applyBorder="1" applyAlignment="1">
      <alignment horizontal="center"/>
    </xf>
    <xf numFmtId="0" fontId="9" fillId="7" borderId="5" xfId="0" applyFont="1" applyFill="1" applyBorder="1" applyAlignment="1">
      <alignment horizontal="center"/>
    </xf>
    <xf numFmtId="0" fontId="9" fillId="7" borderId="0" xfId="0" applyFont="1" applyFill="1" applyAlignment="1">
      <alignment horizontal="center"/>
    </xf>
    <xf numFmtId="0" fontId="9" fillId="7" borderId="9" xfId="0" applyFont="1" applyFill="1" applyBorder="1" applyAlignment="1">
      <alignment horizontal="center"/>
    </xf>
    <xf numFmtId="14" fontId="2" fillId="6" borderId="24" xfId="0" applyNumberFormat="1" applyFont="1" applyFill="1" applyBorder="1" applyAlignment="1" applyProtection="1">
      <alignment horizontal="left"/>
      <protection locked="0"/>
    </xf>
    <xf numFmtId="0" fontId="9" fillId="9" borderId="19" xfId="0" applyFont="1" applyFill="1" applyBorder="1" applyAlignment="1">
      <alignment horizontal="center"/>
    </xf>
    <xf numFmtId="0" fontId="9" fillId="9" borderId="20" xfId="0" applyFont="1" applyFill="1" applyBorder="1" applyAlignment="1">
      <alignment horizontal="center"/>
    </xf>
    <xf numFmtId="0" fontId="9" fillId="9" borderId="21" xfId="0" applyFont="1" applyFill="1" applyBorder="1" applyAlignment="1">
      <alignment horizontal="center"/>
    </xf>
    <xf numFmtId="0" fontId="9" fillId="7" borderId="19" xfId="0" applyFont="1" applyFill="1" applyBorder="1" applyAlignment="1">
      <alignment horizontal="center"/>
    </xf>
    <xf numFmtId="0" fontId="9" fillId="7" borderId="20" xfId="0" applyFont="1" applyFill="1" applyBorder="1" applyAlignment="1">
      <alignment horizontal="center"/>
    </xf>
    <xf numFmtId="0" fontId="9" fillId="7" borderId="21" xfId="0" applyFont="1" applyFill="1" applyBorder="1" applyAlignment="1">
      <alignment horizontal="center"/>
    </xf>
    <xf numFmtId="49" fontId="3" fillId="13" borderId="5" xfId="1" applyNumberFormat="1" applyFont="1" applyFill="1" applyBorder="1" applyAlignment="1">
      <alignment horizontal="center" vertical="top"/>
    </xf>
    <xf numFmtId="0" fontId="4" fillId="13" borderId="0" xfId="1" applyFill="1" applyAlignment="1">
      <alignment vertical="top"/>
    </xf>
  </cellXfs>
  <cellStyles count="2">
    <cellStyle name="Standard" xfId="0" builtinId="0"/>
    <cellStyle name="Standard 2" xfId="1" xr:uid="{5129A49E-8AC4-4233-9EE3-CE92D7702FE1}"/>
  </cellStyles>
  <dxfs count="1">
    <dxf>
      <font>
        <b/>
        <i val="0"/>
        <strike val="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E5E5E5"/>
      <rgbColor rgb="00FFFFFF"/>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dLbls>
          <c:showLegendKey val="0"/>
          <c:showVal val="0"/>
          <c:showCatName val="0"/>
          <c:showSerName val="0"/>
          <c:showPercent val="0"/>
          <c:showBubbleSize val="0"/>
        </c:dLbls>
        <c:marker val="1"/>
        <c:smooth val="0"/>
        <c:axId val="696963392"/>
        <c:axId val="696958352"/>
      </c:lineChart>
      <c:catAx>
        <c:axId val="69696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96958352"/>
        <c:crosses val="autoZero"/>
        <c:auto val="1"/>
        <c:lblAlgn val="ctr"/>
        <c:lblOffset val="100"/>
        <c:noMultiLvlLbl val="0"/>
      </c:catAx>
      <c:valAx>
        <c:axId val="69695835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969633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165100</xdr:colOff>
          <xdr:row>3</xdr:row>
          <xdr:rowOff>146050</xdr:rowOff>
        </xdr:from>
        <xdr:to>
          <xdr:col>6</xdr:col>
          <xdr:colOff>647700</xdr:colOff>
          <xdr:row>5</xdr:row>
          <xdr:rowOff>127000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Belegung erstellen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784224</xdr:colOff>
      <xdr:row>39</xdr:row>
      <xdr:rowOff>63500</xdr:rowOff>
    </xdr:from>
    <xdr:to>
      <xdr:col>10</xdr:col>
      <xdr:colOff>698499</xdr:colOff>
      <xdr:row>59</xdr:row>
      <xdr:rowOff>12700</xdr:rowOff>
    </xdr:to>
    <xdr:graphicFrame macro="">
      <xdr:nvGraphicFramePr>
        <xdr:cNvPr id="2" name="Auslastung_Graph">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595CF-21CA-4200-9D3F-136D3CF169A5}">
  <sheetPr codeName="Tabelle1"/>
  <dimension ref="A1:N24"/>
  <sheetViews>
    <sheetView tabSelected="1" workbookViewId="0">
      <selection activeCell="B2" sqref="B2"/>
    </sheetView>
  </sheetViews>
  <sheetFormatPr baseColWidth="10" defaultRowHeight="12.5" x14ac:dyDescent="0.25"/>
  <cols>
    <col min="1" max="1" width="14.81640625" style="64" customWidth="1"/>
    <col min="2" max="2" width="11.453125" style="64"/>
    <col min="3" max="3" width="12.7265625" style="64" bestFit="1" customWidth="1"/>
    <col min="4" max="4" width="11.453125" style="64"/>
    <col min="5" max="5" width="8.54296875" customWidth="1"/>
    <col min="6" max="6" width="19.54296875" customWidth="1"/>
    <col min="9" max="9" width="24.54296875" customWidth="1"/>
    <col min="10" max="10" width="16.453125" customWidth="1"/>
    <col min="11" max="11" width="54.7265625" customWidth="1"/>
    <col min="12" max="12" width="4.81640625" customWidth="1"/>
    <col min="14" max="14" width="51.81640625" customWidth="1"/>
  </cols>
  <sheetData>
    <row r="1" spans="1:14" x14ac:dyDescent="0.25">
      <c r="A1"/>
      <c r="B1"/>
      <c r="C1"/>
      <c r="D1"/>
    </row>
    <row r="2" spans="1:14" x14ac:dyDescent="0.25">
      <c r="A2" t="s">
        <v>34</v>
      </c>
      <c r="B2" s="178"/>
      <c r="C2" s="3"/>
      <c r="D2"/>
    </row>
    <row r="3" spans="1:14" x14ac:dyDescent="0.25">
      <c r="A3" t="s">
        <v>36</v>
      </c>
      <c r="B3" s="179"/>
      <c r="C3"/>
      <c r="D3"/>
    </row>
    <row r="4" spans="1:14" x14ac:dyDescent="0.25">
      <c r="A4" s="3" t="s">
        <v>55</v>
      </c>
      <c r="B4" s="178"/>
      <c r="C4"/>
      <c r="D4"/>
    </row>
    <row r="5" spans="1:14" x14ac:dyDescent="0.25">
      <c r="A5"/>
      <c r="B5"/>
      <c r="C5"/>
      <c r="D5"/>
    </row>
    <row r="6" spans="1:14" ht="13" x14ac:dyDescent="0.3">
      <c r="A6" s="138" t="s">
        <v>38</v>
      </c>
      <c r="B6" s="138" t="s">
        <v>39</v>
      </c>
      <c r="C6" s="138" t="s">
        <v>37</v>
      </c>
      <c r="D6" s="138" t="s">
        <v>35</v>
      </c>
    </row>
    <row r="7" spans="1:14" x14ac:dyDescent="0.25">
      <c r="A7" s="172"/>
      <c r="B7" s="173"/>
      <c r="C7" s="173"/>
      <c r="D7" s="181"/>
      <c r="N7" s="170"/>
    </row>
    <row r="8" spans="1:14" x14ac:dyDescent="0.25">
      <c r="A8" s="172"/>
      <c r="B8" s="173"/>
      <c r="C8" s="173"/>
      <c r="D8" s="181"/>
      <c r="N8" s="170"/>
    </row>
    <row r="9" spans="1:14" ht="13" x14ac:dyDescent="0.3">
      <c r="A9" s="172"/>
      <c r="B9" s="173"/>
      <c r="C9" s="173"/>
      <c r="D9" s="182"/>
      <c r="N9" s="170"/>
    </row>
    <row r="10" spans="1:14" x14ac:dyDescent="0.25">
      <c r="A10" s="173"/>
      <c r="B10" s="173"/>
      <c r="C10" s="173"/>
      <c r="D10" s="173"/>
      <c r="K10" s="170"/>
      <c r="N10" s="170"/>
    </row>
    <row r="11" spans="1:14" x14ac:dyDescent="0.25">
      <c r="A11" s="173"/>
      <c r="B11" s="173"/>
      <c r="C11" s="173"/>
      <c r="D11" s="173"/>
      <c r="N11" s="170"/>
    </row>
    <row r="12" spans="1:14" x14ac:dyDescent="0.25">
      <c r="A12" s="173"/>
      <c r="B12" s="173"/>
      <c r="C12" s="173"/>
      <c r="D12" s="173"/>
      <c r="N12" s="170"/>
    </row>
    <row r="13" spans="1:14" x14ac:dyDescent="0.25">
      <c r="A13" s="173"/>
      <c r="B13" s="173"/>
      <c r="C13" s="173"/>
      <c r="D13" s="173"/>
      <c r="N13" s="170"/>
    </row>
    <row r="14" spans="1:14" x14ac:dyDescent="0.25">
      <c r="A14" s="173"/>
      <c r="B14" s="173"/>
      <c r="C14" s="173"/>
      <c r="D14" s="173"/>
      <c r="N14" s="170"/>
    </row>
    <row r="15" spans="1:14" x14ac:dyDescent="0.25">
      <c r="A15" s="173"/>
      <c r="B15" s="173"/>
      <c r="C15" s="173"/>
      <c r="D15" s="173"/>
      <c r="N15" s="170"/>
    </row>
    <row r="16" spans="1:14" x14ac:dyDescent="0.25">
      <c r="A16" s="173"/>
      <c r="B16" s="173"/>
      <c r="C16" s="173"/>
      <c r="D16" s="173"/>
      <c r="N16" s="170"/>
    </row>
    <row r="17" spans="9:14" x14ac:dyDescent="0.25">
      <c r="N17" s="170"/>
    </row>
    <row r="18" spans="9:14" ht="15.5" x14ac:dyDescent="0.35">
      <c r="I18" s="171" t="s">
        <v>56</v>
      </c>
      <c r="J18" s="171" t="s">
        <v>57</v>
      </c>
      <c r="K18" s="171" t="s">
        <v>54</v>
      </c>
      <c r="M18" s="171" t="s">
        <v>53</v>
      </c>
    </row>
    <row r="19" spans="9:14" ht="37.5" x14ac:dyDescent="0.25">
      <c r="I19" s="174" t="s">
        <v>58</v>
      </c>
      <c r="J19" s="175" t="s">
        <v>65</v>
      </c>
      <c r="K19" s="176" t="s">
        <v>66</v>
      </c>
      <c r="M19" s="177">
        <v>45377</v>
      </c>
      <c r="N19" s="176" t="s">
        <v>69</v>
      </c>
    </row>
    <row r="20" spans="9:14" ht="50" x14ac:dyDescent="0.25">
      <c r="I20" s="174" t="s">
        <v>59</v>
      </c>
      <c r="J20" s="175" t="s">
        <v>62</v>
      </c>
      <c r="K20" s="176" t="s">
        <v>70</v>
      </c>
      <c r="M20" s="183">
        <v>45396</v>
      </c>
      <c r="N20" s="184" t="s">
        <v>72</v>
      </c>
    </row>
    <row r="21" spans="9:14" ht="50" x14ac:dyDescent="0.25">
      <c r="I21" s="174" t="s">
        <v>60</v>
      </c>
      <c r="J21" s="175" t="s">
        <v>63</v>
      </c>
      <c r="K21" s="176" t="s">
        <v>67</v>
      </c>
      <c r="M21" s="183">
        <v>45402</v>
      </c>
      <c r="N21" s="184" t="s">
        <v>73</v>
      </c>
    </row>
    <row r="22" spans="9:14" ht="25" x14ac:dyDescent="0.25">
      <c r="I22" s="174" t="s">
        <v>61</v>
      </c>
      <c r="J22" s="175" t="s">
        <v>64</v>
      </c>
      <c r="K22" s="176" t="s">
        <v>68</v>
      </c>
      <c r="M22" s="183">
        <v>45443</v>
      </c>
      <c r="N22" s="184" t="s">
        <v>77</v>
      </c>
    </row>
    <row r="23" spans="9:14" x14ac:dyDescent="0.25">
      <c r="I23" s="174" t="s">
        <v>74</v>
      </c>
      <c r="J23" s="175" t="s">
        <v>75</v>
      </c>
      <c r="K23" s="176" t="s">
        <v>76</v>
      </c>
      <c r="M23" s="183">
        <v>45566</v>
      </c>
      <c r="N23" s="184" t="s">
        <v>81</v>
      </c>
    </row>
    <row r="24" spans="9:14" x14ac:dyDescent="0.25">
      <c r="N24" s="170"/>
    </row>
  </sheetData>
  <sheetProtection algorithmName="SHA-512" hashValue="UHvHe2twYWxROQLAY+N4d3xXGhiOLfrXGfeMfct5jcihjY3/zH+wUuSljncx3HZ8QHt1KURQiKdUGTvIKUD5mA==" saltValue="PDQYYpVd8Cq2P3B1DzXD9w==" spinCount="100000" sheet="1" formatCells="0" formatColumns="0" formatRows="0" insertRows="0" insertHyperlinks="0" selectLockedCells="1"/>
  <dataValidations count="1">
    <dataValidation allowBlank="1" showInputMessage="1" showErrorMessage="1" promptTitle="Anzahl Kinder" prompt="Definiert die Anzahl an Zeilen, welche zu Beginn erstellt werden." sqref="C6:C40" xr:uid="{ADBE620A-DF72-4D03-9C75-CE0502BCCE2F}"/>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Jahresbelegung_erstellen">
                <anchor>
                  <from>
                    <xdr:col>5</xdr:col>
                    <xdr:colOff>165100</xdr:colOff>
                    <xdr:row>3</xdr:row>
                    <xdr:rowOff>146050</xdr:rowOff>
                  </from>
                  <to>
                    <xdr:col>6</xdr:col>
                    <xdr:colOff>647700</xdr:colOff>
                    <xdr:row>5</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7"/>
  <dimension ref="A2:Q36"/>
  <sheetViews>
    <sheetView workbookViewId="0">
      <selection activeCell="C9" sqref="C9"/>
    </sheetView>
  </sheetViews>
  <sheetFormatPr baseColWidth="10" defaultRowHeight="12.5" x14ac:dyDescent="0.25"/>
  <cols>
    <col min="1" max="1" width="21.81640625" customWidth="1"/>
    <col min="2" max="2" width="14.453125" customWidth="1"/>
    <col min="3" max="3" width="21.81640625" customWidth="1"/>
    <col min="5" max="5" width="19.81640625" bestFit="1" customWidth="1"/>
    <col min="6" max="6" width="17.26953125" customWidth="1"/>
    <col min="7" max="7" width="21.81640625" customWidth="1"/>
    <col min="9" max="9" width="19.81640625" bestFit="1" customWidth="1"/>
    <col min="10" max="10" width="18.1796875" customWidth="1"/>
  </cols>
  <sheetData>
    <row r="2" spans="1:17" ht="13" x14ac:dyDescent="0.3">
      <c r="A2" s="19" t="s">
        <v>32</v>
      </c>
      <c r="C2" s="19"/>
      <c r="G2" s="19"/>
    </row>
    <row r="4" spans="1:17" x14ac:dyDescent="0.25">
      <c r="A4" s="64"/>
      <c r="C4" s="64"/>
      <c r="G4" s="64"/>
    </row>
    <row r="6" spans="1:17" ht="13" x14ac:dyDescent="0.3">
      <c r="A6" s="20" t="str">
        <f>"Januar " &amp; $A$4</f>
        <v xml:space="preserve">Januar </v>
      </c>
      <c r="B6" s="20"/>
      <c r="C6" s="20"/>
      <c r="E6" s="20" t="s">
        <v>48</v>
      </c>
      <c r="F6" s="20"/>
      <c r="G6" s="20"/>
      <c r="I6" s="20" t="s">
        <v>49</v>
      </c>
      <c r="J6" s="20"/>
      <c r="K6" s="20"/>
    </row>
    <row r="7" spans="1:17" ht="9" customHeight="1" x14ac:dyDescent="0.25">
      <c r="N7" s="3" t="s">
        <v>71</v>
      </c>
      <c r="O7" s="3">
        <f>B9</f>
        <v>0</v>
      </c>
      <c r="P7" s="3"/>
      <c r="Q7" s="3"/>
    </row>
    <row r="8" spans="1:17" hidden="1" x14ac:dyDescent="0.25"/>
    <row r="9" spans="1:17" ht="13" x14ac:dyDescent="0.3">
      <c r="A9" s="1"/>
      <c r="B9" s="1"/>
      <c r="C9" s="1" t="s">
        <v>7</v>
      </c>
      <c r="E9" s="1"/>
      <c r="F9" s="1"/>
      <c r="G9" s="1" t="s">
        <v>7</v>
      </c>
      <c r="I9" s="1"/>
      <c r="J9" s="1"/>
      <c r="K9" s="1" t="s">
        <v>7</v>
      </c>
      <c r="N9" t="str">
        <f>A6</f>
        <v xml:space="preserve">Januar </v>
      </c>
      <c r="O9" s="180" t="e">
        <f>B12</f>
        <v>#DIV/0!</v>
      </c>
      <c r="P9" s="180"/>
      <c r="Q9" s="180"/>
    </row>
    <row r="10" spans="1:17" ht="13" x14ac:dyDescent="0.3">
      <c r="A10" s="1" t="s">
        <v>11</v>
      </c>
      <c r="B10" s="2">
        <f>Vorlage_Gruppen!$U$11</f>
        <v>0</v>
      </c>
      <c r="C10" s="2">
        <f>SUM(B10:B10)</f>
        <v>0</v>
      </c>
      <c r="E10" s="1" t="s">
        <v>11</v>
      </c>
      <c r="F10" s="2">
        <f>Vorlage_Gruppen!$AC$11</f>
        <v>0</v>
      </c>
      <c r="G10" s="2">
        <f>SUM(F10:F10)</f>
        <v>0</v>
      </c>
      <c r="I10" s="1" t="s">
        <v>11</v>
      </c>
      <c r="J10" s="2">
        <f>Vorlage_Gruppen!$AK$11</f>
        <v>0</v>
      </c>
      <c r="K10" s="2">
        <f>SUM(J10:J10)</f>
        <v>0</v>
      </c>
      <c r="N10" t="str">
        <f>E6</f>
        <v>Februar</v>
      </c>
      <c r="O10" s="180" t="e">
        <f>F12</f>
        <v>#DIV/0!</v>
      </c>
      <c r="P10" s="180"/>
      <c r="Q10" s="180"/>
    </row>
    <row r="11" spans="1:17" ht="13" x14ac:dyDescent="0.3">
      <c r="A11" s="1" t="s">
        <v>10</v>
      </c>
      <c r="B11" s="2">
        <f>Vorlage_Gruppen!$U$12</f>
        <v>0</v>
      </c>
      <c r="C11" s="2">
        <f>SUM(B11:B11)</f>
        <v>0</v>
      </c>
      <c r="E11" s="1" t="s">
        <v>10</v>
      </c>
      <c r="F11" s="2">
        <f>Vorlage_Gruppen!$AC$12</f>
        <v>0</v>
      </c>
      <c r="G11" s="2">
        <f>SUM(F11:F11)</f>
        <v>0</v>
      </c>
      <c r="I11" s="1" t="s">
        <v>10</v>
      </c>
      <c r="J11" s="2">
        <f>Vorlage_Gruppen!$AK$12</f>
        <v>0</v>
      </c>
      <c r="K11" s="2">
        <f>SUM(J11:J11)</f>
        <v>0</v>
      </c>
      <c r="N11" t="str">
        <f>I6</f>
        <v>März</v>
      </c>
      <c r="O11" s="180" t="e">
        <f>J12</f>
        <v>#DIV/0!</v>
      </c>
      <c r="P11" s="180"/>
      <c r="Q11" s="180"/>
    </row>
    <row r="12" spans="1:17" ht="13" x14ac:dyDescent="0.3">
      <c r="A12" s="1" t="s">
        <v>12</v>
      </c>
      <c r="B12" s="2" t="e">
        <f>Vorlage_Gruppen!$U$13</f>
        <v>#DIV/0!</v>
      </c>
      <c r="C12" s="25" t="e">
        <f>(C10*100)/C11</f>
        <v>#DIV/0!</v>
      </c>
      <c r="E12" s="1" t="s">
        <v>12</v>
      </c>
      <c r="F12" s="2" t="e">
        <f>Vorlage_Gruppen!$AC$13</f>
        <v>#DIV/0!</v>
      </c>
      <c r="G12" s="25" t="e">
        <f>(G10*100)/G11</f>
        <v>#DIV/0!</v>
      </c>
      <c r="I12" s="1" t="s">
        <v>12</v>
      </c>
      <c r="J12" s="2" t="e">
        <f>Vorlage_Gruppen!$AK$13</f>
        <v>#DIV/0!</v>
      </c>
      <c r="K12" s="25" t="e">
        <f>(K10*100)/K11</f>
        <v>#DIV/0!</v>
      </c>
      <c r="N12" t="str">
        <f>A15</f>
        <v xml:space="preserve">April </v>
      </c>
      <c r="O12" s="180" t="e">
        <f>B20</f>
        <v>#DIV/0!</v>
      </c>
      <c r="P12" s="180"/>
      <c r="Q12" s="180"/>
    </row>
    <row r="13" spans="1:17" x14ac:dyDescent="0.25">
      <c r="N13" t="str">
        <f>E15</f>
        <v>Mai</v>
      </c>
      <c r="O13" s="180" t="e">
        <f>F20</f>
        <v>#DIV/0!</v>
      </c>
      <c r="P13" s="180"/>
      <c r="Q13" s="180"/>
    </row>
    <row r="14" spans="1:17" x14ac:dyDescent="0.25">
      <c r="N14" t="str">
        <f>I15</f>
        <v>Juni</v>
      </c>
      <c r="O14" s="180" t="e">
        <f>J20</f>
        <v>#DIV/0!</v>
      </c>
      <c r="P14" s="180"/>
      <c r="Q14" s="180"/>
    </row>
    <row r="15" spans="1:17" ht="13" x14ac:dyDescent="0.3">
      <c r="A15" s="20" t="str">
        <f>"April " &amp; $A$4</f>
        <v xml:space="preserve">April </v>
      </c>
      <c r="B15" s="21"/>
      <c r="C15" s="21"/>
      <c r="E15" s="20" t="s">
        <v>25</v>
      </c>
      <c r="F15" s="21"/>
      <c r="G15" s="21"/>
      <c r="I15" s="20" t="s">
        <v>26</v>
      </c>
      <c r="J15" s="21"/>
      <c r="K15" s="21"/>
      <c r="N15" t="str">
        <f>A23</f>
        <v xml:space="preserve">Juli </v>
      </c>
      <c r="O15" s="180" t="e">
        <f>B28</f>
        <v>#DIV/0!</v>
      </c>
      <c r="P15" s="180"/>
      <c r="Q15" s="180"/>
    </row>
    <row r="16" spans="1:17" x14ac:dyDescent="0.25">
      <c r="N16" t="str">
        <f>E23</f>
        <v>August</v>
      </c>
      <c r="O16" s="180" t="e">
        <f>F28</f>
        <v>#DIV/0!</v>
      </c>
      <c r="P16" s="180"/>
      <c r="Q16" s="180"/>
    </row>
    <row r="17" spans="1:17" ht="13" x14ac:dyDescent="0.3">
      <c r="A17" s="1"/>
      <c r="B17" s="1"/>
      <c r="C17" s="1" t="s">
        <v>7</v>
      </c>
      <c r="E17" s="1"/>
      <c r="F17" s="1"/>
      <c r="G17" s="1" t="s">
        <v>7</v>
      </c>
      <c r="I17" s="1"/>
      <c r="J17" s="1"/>
      <c r="K17" s="1" t="s">
        <v>7</v>
      </c>
      <c r="N17" t="str">
        <f>I23</f>
        <v>September</v>
      </c>
      <c r="O17" s="180" t="e">
        <f>J28</f>
        <v>#DIV/0!</v>
      </c>
      <c r="P17" s="180"/>
      <c r="Q17" s="180"/>
    </row>
    <row r="18" spans="1:17" ht="13" x14ac:dyDescent="0.3">
      <c r="A18" s="1" t="s">
        <v>11</v>
      </c>
      <c r="B18" s="2">
        <f>Vorlage_Gruppen!$AS$11</f>
        <v>0</v>
      </c>
      <c r="C18" s="2">
        <f>SUM(B18:B18)</f>
        <v>0</v>
      </c>
      <c r="E18" s="1" t="s">
        <v>11</v>
      </c>
      <c r="F18" s="2">
        <f>Vorlage_Gruppen!$BA$11</f>
        <v>0</v>
      </c>
      <c r="G18" s="2">
        <f>SUM(F18:F18)</f>
        <v>0</v>
      </c>
      <c r="I18" s="1" t="s">
        <v>11</v>
      </c>
      <c r="J18" s="2">
        <f>Vorlage_Gruppen!$BI$11</f>
        <v>0</v>
      </c>
      <c r="K18" s="2">
        <f>SUM(J18:J18)</f>
        <v>0</v>
      </c>
      <c r="N18" t="str">
        <f>A31</f>
        <v xml:space="preserve">Oktober </v>
      </c>
      <c r="O18" s="180" t="e">
        <f>B36</f>
        <v>#DIV/0!</v>
      </c>
      <c r="P18" s="180"/>
      <c r="Q18" s="180"/>
    </row>
    <row r="19" spans="1:17" ht="13" x14ac:dyDescent="0.3">
      <c r="A19" s="1" t="s">
        <v>10</v>
      </c>
      <c r="B19" s="2">
        <f>Vorlage_Gruppen!$AS$12</f>
        <v>0</v>
      </c>
      <c r="C19" s="2">
        <f>SUM(B19:B19)</f>
        <v>0</v>
      </c>
      <c r="E19" s="1" t="s">
        <v>10</v>
      </c>
      <c r="F19" s="2">
        <f>Vorlage_Gruppen!$BA$12</f>
        <v>0</v>
      </c>
      <c r="G19" s="2">
        <f>SUM(F19:F19)</f>
        <v>0</v>
      </c>
      <c r="I19" s="1" t="s">
        <v>10</v>
      </c>
      <c r="J19" s="2">
        <f>Vorlage_Gruppen!$BI$12</f>
        <v>0</v>
      </c>
      <c r="K19" s="2">
        <f>SUM(J19:J19)</f>
        <v>0</v>
      </c>
      <c r="N19" t="str">
        <f>E31</f>
        <v>November</v>
      </c>
      <c r="O19" s="180" t="e">
        <f>F36</f>
        <v>#DIV/0!</v>
      </c>
      <c r="P19" s="180"/>
      <c r="Q19" s="180"/>
    </row>
    <row r="20" spans="1:17" ht="13" x14ac:dyDescent="0.3">
      <c r="A20" s="1" t="s">
        <v>12</v>
      </c>
      <c r="B20" s="2" t="e">
        <f>Vorlage_Gruppen!$AS$13</f>
        <v>#DIV/0!</v>
      </c>
      <c r="C20" s="25" t="e">
        <f>(C18*100)/C19</f>
        <v>#DIV/0!</v>
      </c>
      <c r="E20" s="1" t="s">
        <v>12</v>
      </c>
      <c r="F20" s="2" t="e">
        <f>Vorlage_Gruppen!$BA$13</f>
        <v>#DIV/0!</v>
      </c>
      <c r="G20" s="25" t="e">
        <f>(G18*100)/G19</f>
        <v>#DIV/0!</v>
      </c>
      <c r="I20" s="1" t="s">
        <v>12</v>
      </c>
      <c r="J20" s="2" t="e">
        <f>Vorlage_Gruppen!$BI$13</f>
        <v>#DIV/0!</v>
      </c>
      <c r="K20" s="25" t="e">
        <f>(K18*100)/K19</f>
        <v>#DIV/0!</v>
      </c>
      <c r="N20" t="str">
        <f>I31</f>
        <v>Dezember</v>
      </c>
      <c r="O20" s="180" t="e">
        <f>J36</f>
        <v>#DIV/0!</v>
      </c>
      <c r="P20" s="180"/>
      <c r="Q20" s="180"/>
    </row>
    <row r="23" spans="1:17" ht="13" x14ac:dyDescent="0.3">
      <c r="A23" s="20" t="str">
        <f>"Juli " &amp; $A$4</f>
        <v xml:space="preserve">Juli </v>
      </c>
      <c r="B23" s="21"/>
      <c r="C23" s="21"/>
      <c r="E23" s="20" t="s">
        <v>28</v>
      </c>
      <c r="F23" s="21"/>
      <c r="G23" s="21"/>
      <c r="I23" s="20" t="s">
        <v>50</v>
      </c>
      <c r="J23" s="21"/>
      <c r="K23" s="21"/>
    </row>
    <row r="25" spans="1:17" ht="13" x14ac:dyDescent="0.3">
      <c r="A25" s="1"/>
      <c r="B25" s="1"/>
      <c r="C25" s="1" t="s">
        <v>7</v>
      </c>
      <c r="E25" s="1"/>
      <c r="F25" s="1"/>
      <c r="G25" s="1" t="s">
        <v>7</v>
      </c>
      <c r="I25" s="1"/>
      <c r="J25" s="1"/>
      <c r="K25" s="1" t="s">
        <v>7</v>
      </c>
    </row>
    <row r="26" spans="1:17" ht="13" x14ac:dyDescent="0.3">
      <c r="A26" s="1" t="s">
        <v>11</v>
      </c>
      <c r="B26" s="2">
        <f>Vorlage_Gruppen!$BQ$11</f>
        <v>0</v>
      </c>
      <c r="C26" s="2">
        <f>SUM(B26:B26)</f>
        <v>0</v>
      </c>
      <c r="E26" s="1" t="s">
        <v>11</v>
      </c>
      <c r="F26" s="2">
        <f>Vorlage_Gruppen!$CG$11</f>
        <v>0</v>
      </c>
      <c r="G26" s="2">
        <f>SUM(F26:F26)</f>
        <v>0</v>
      </c>
      <c r="I26" s="1" t="s">
        <v>11</v>
      </c>
      <c r="J26" s="2">
        <f>Vorlage_Gruppen!$CO$11</f>
        <v>0</v>
      </c>
      <c r="K26" s="2">
        <f>SUM(J26:J26)</f>
        <v>0</v>
      </c>
    </row>
    <row r="27" spans="1:17" ht="13" x14ac:dyDescent="0.3">
      <c r="A27" s="1" t="s">
        <v>10</v>
      </c>
      <c r="B27" s="2">
        <f>Vorlage_Gruppen!$BQ$12</f>
        <v>0</v>
      </c>
      <c r="C27" s="2">
        <f>SUM(B27:B27)</f>
        <v>0</v>
      </c>
      <c r="E27" s="1" t="s">
        <v>10</v>
      </c>
      <c r="F27" s="2">
        <f>Vorlage_Gruppen!$CG$12</f>
        <v>0</v>
      </c>
      <c r="G27" s="2">
        <f>SUM(F27:F27)</f>
        <v>0</v>
      </c>
      <c r="I27" s="1" t="s">
        <v>10</v>
      </c>
      <c r="J27" s="2">
        <f>Vorlage_Gruppen!$CO$12</f>
        <v>0</v>
      </c>
      <c r="K27" s="2">
        <f>SUM(J27:J27)</f>
        <v>0</v>
      </c>
    </row>
    <row r="28" spans="1:17" ht="13" x14ac:dyDescent="0.3">
      <c r="A28" s="1" t="s">
        <v>12</v>
      </c>
      <c r="B28" s="2" t="e">
        <f>Vorlage_Gruppen!$BQ$13</f>
        <v>#DIV/0!</v>
      </c>
      <c r="C28" s="25" t="e">
        <f>(C26*100)/C27</f>
        <v>#DIV/0!</v>
      </c>
      <c r="E28" s="1" t="s">
        <v>12</v>
      </c>
      <c r="F28" s="2" t="e">
        <f>Vorlage_Gruppen!$CG$13</f>
        <v>#DIV/0!</v>
      </c>
      <c r="G28" s="25" t="e">
        <f>(G26*100)/G27</f>
        <v>#DIV/0!</v>
      </c>
      <c r="I28" s="1" t="s">
        <v>12</v>
      </c>
      <c r="J28" s="2" t="e">
        <f>Vorlage_Gruppen!$CO$13</f>
        <v>#DIV/0!</v>
      </c>
      <c r="K28" s="25" t="e">
        <f>(K26*100)/K27</f>
        <v>#DIV/0!</v>
      </c>
    </row>
    <row r="31" spans="1:17" ht="13" x14ac:dyDescent="0.3">
      <c r="A31" s="20" t="str">
        <f>"Oktober " &amp; $A$4</f>
        <v xml:space="preserve">Oktober </v>
      </c>
      <c r="B31" s="21"/>
      <c r="C31" s="21"/>
      <c r="E31" s="20" t="s">
        <v>52</v>
      </c>
      <c r="F31" s="21"/>
      <c r="G31" s="21"/>
      <c r="I31" s="20" t="s">
        <v>51</v>
      </c>
      <c r="J31" s="21"/>
      <c r="K31" s="21"/>
    </row>
    <row r="33" spans="1:11" ht="13" x14ac:dyDescent="0.3">
      <c r="A33" s="1"/>
      <c r="B33" s="1"/>
      <c r="C33" s="1" t="s">
        <v>7</v>
      </c>
      <c r="E33" s="1"/>
      <c r="F33" s="1"/>
      <c r="G33" s="1" t="s">
        <v>7</v>
      </c>
      <c r="I33" s="1"/>
      <c r="J33" s="1"/>
      <c r="K33" s="1" t="s">
        <v>7</v>
      </c>
    </row>
    <row r="34" spans="1:11" ht="13" x14ac:dyDescent="0.3">
      <c r="A34" s="1" t="s">
        <v>11</v>
      </c>
      <c r="B34" s="2">
        <f>Vorlage_Gruppen!$CW$11</f>
        <v>0</v>
      </c>
      <c r="C34" s="2">
        <f>SUM(B34:B34)</f>
        <v>0</v>
      </c>
      <c r="E34" s="1" t="s">
        <v>11</v>
      </c>
      <c r="F34" s="2">
        <f>Vorlage_Gruppen!$DE$11</f>
        <v>0</v>
      </c>
      <c r="G34" s="2">
        <f>SUM(F34:F34)</f>
        <v>0</v>
      </c>
      <c r="I34" s="1" t="s">
        <v>11</v>
      </c>
      <c r="J34" s="2">
        <f>Vorlage_Gruppen!$DM$11</f>
        <v>0</v>
      </c>
      <c r="K34" s="2">
        <f>SUM(J34:J34)</f>
        <v>0</v>
      </c>
    </row>
    <row r="35" spans="1:11" ht="13" x14ac:dyDescent="0.3">
      <c r="A35" s="1" t="s">
        <v>10</v>
      </c>
      <c r="B35" s="2">
        <f>Vorlage_Gruppen!$CW$12</f>
        <v>0</v>
      </c>
      <c r="C35" s="2">
        <f>SUM(B35:B35)</f>
        <v>0</v>
      </c>
      <c r="E35" s="1" t="s">
        <v>10</v>
      </c>
      <c r="F35" s="2">
        <f>Vorlage_Gruppen!$DE$12</f>
        <v>0</v>
      </c>
      <c r="G35" s="2">
        <f>SUM(F35:F35)</f>
        <v>0</v>
      </c>
      <c r="I35" s="1" t="s">
        <v>10</v>
      </c>
      <c r="J35" s="2">
        <f>Vorlage_Gruppen!$DM$12</f>
        <v>0</v>
      </c>
      <c r="K35" s="2">
        <f>SUM(J35:J35)</f>
        <v>0</v>
      </c>
    </row>
    <row r="36" spans="1:11" ht="13" x14ac:dyDescent="0.3">
      <c r="A36" s="1" t="s">
        <v>12</v>
      </c>
      <c r="B36" s="2" t="e">
        <f>Vorlage_Gruppen!$CW$13</f>
        <v>#DIV/0!</v>
      </c>
      <c r="C36" s="25" t="e">
        <f>(C34*100)/C35</f>
        <v>#DIV/0!</v>
      </c>
      <c r="E36" s="1" t="s">
        <v>12</v>
      </c>
      <c r="F36" s="2" t="e">
        <f>Vorlage_Gruppen!$DE$13</f>
        <v>#DIV/0!</v>
      </c>
      <c r="G36" s="25" t="e">
        <f>(G34*100)/G35</f>
        <v>#DIV/0!</v>
      </c>
      <c r="I36" s="1" t="s">
        <v>12</v>
      </c>
      <c r="J36" s="2" t="e">
        <f>Vorlage_Gruppen!$DM$13</f>
        <v>#DIV/0!</v>
      </c>
      <c r="K36" s="25" t="e">
        <f>(K34*100)/K35</f>
        <v>#DIV/0!</v>
      </c>
    </row>
  </sheetData>
  <sheetProtection formatCells="0" formatColumns="0" formatRows="0" insertColumns="0" insertRows="0" insertHyperlinks="0" deleteColumns="0" deleteRows="0" sort="0" autoFilter="0" pivotTables="0"/>
  <phoneticPr fontId="2" type="noConversion"/>
  <pageMargins left="0.78740157499999996" right="0.78740157499999996" top="0.984251969" bottom="0.984251969" header="0.4921259845" footer="0.4921259845"/>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3">
    <pageSetUpPr fitToPage="1"/>
  </sheetPr>
  <dimension ref="A1:DO16"/>
  <sheetViews>
    <sheetView workbookViewId="0">
      <pane xSplit="6" ySplit="7" topLeftCell="G8" activePane="bottomRight" state="frozen"/>
      <selection pane="topRight" activeCell="E1" sqref="E1"/>
      <selection pane="bottomLeft" activeCell="A7" sqref="A7"/>
      <selection pane="bottomRight" activeCell="Z8" sqref="Z8"/>
    </sheetView>
  </sheetViews>
  <sheetFormatPr baseColWidth="10" defaultColWidth="10.81640625" defaultRowHeight="12.5" x14ac:dyDescent="0.25"/>
  <cols>
    <col min="1" max="1" width="24.26953125" style="64" customWidth="1"/>
    <col min="2" max="2" width="7" style="64" customWidth="1"/>
    <col min="3" max="5" width="8.453125" style="64" customWidth="1"/>
    <col min="6" max="6" width="6.26953125" style="64" customWidth="1"/>
    <col min="7" max="7" width="3.54296875" style="64" customWidth="1"/>
    <col min="8" max="13" width="5.453125" style="64" customWidth="1"/>
    <col min="14" max="14" width="16" style="64" customWidth="1"/>
    <col min="15" max="15" width="5.453125" style="64" customWidth="1" collapsed="1"/>
    <col min="16" max="21" width="5.453125" style="64" customWidth="1"/>
    <col min="22" max="22" width="16" style="64" customWidth="1"/>
    <col min="23" max="23" width="5.453125" style="64" customWidth="1"/>
    <col min="24" max="29" width="5.1796875" style="64" customWidth="1"/>
    <col min="30" max="30" width="16" style="64" customWidth="1"/>
    <col min="31" max="31" width="5.453125" style="64" customWidth="1"/>
    <col min="32" max="37" width="5.1796875" style="64" customWidth="1"/>
    <col min="38" max="38" width="16" style="64" customWidth="1"/>
    <col min="39" max="39" width="5.453125" style="64" customWidth="1"/>
    <col min="40" max="45" width="5.1796875" style="64" customWidth="1"/>
    <col min="46" max="46" width="16" style="64" customWidth="1"/>
    <col min="47" max="47" width="5.453125" style="64" customWidth="1"/>
    <col min="48" max="53" width="5.1796875" style="64" customWidth="1"/>
    <col min="54" max="54" width="16" style="64" customWidth="1"/>
    <col min="55" max="55" width="5.453125" style="64" customWidth="1"/>
    <col min="56" max="61" width="5.1796875" style="64" customWidth="1"/>
    <col min="62" max="62" width="16" style="64" customWidth="1"/>
    <col min="63" max="63" width="5.453125" style="64" customWidth="1"/>
    <col min="64" max="69" width="5.1796875" style="64" customWidth="1"/>
    <col min="70" max="70" width="16" style="64" customWidth="1"/>
    <col min="71" max="71" width="5.453125" style="64" customWidth="1"/>
    <col min="72" max="77" width="5.1796875" style="64" customWidth="1"/>
    <col min="78" max="78" width="16" style="64" customWidth="1"/>
    <col min="79" max="79" width="5.453125" style="64" customWidth="1"/>
    <col min="80" max="85" width="5.1796875" style="64" customWidth="1"/>
    <col min="86" max="86" width="16" style="64" customWidth="1"/>
    <col min="87" max="87" width="5.453125" style="64" customWidth="1"/>
    <col min="88" max="93" width="5.1796875" style="64" customWidth="1"/>
    <col min="94" max="94" width="16" style="64" customWidth="1"/>
    <col min="95" max="95" width="5.453125" style="64" customWidth="1"/>
    <col min="96" max="101" width="5.1796875" style="64" customWidth="1"/>
    <col min="102" max="102" width="16" style="64" customWidth="1"/>
    <col min="103" max="109" width="5.453125" style="64" customWidth="1"/>
    <col min="110" max="110" width="16" style="64" customWidth="1"/>
    <col min="111" max="117" width="5.453125" style="64" customWidth="1"/>
    <col min="118" max="118" width="16" style="64" customWidth="1"/>
    <col min="119" max="119" width="5.453125" style="64" customWidth="1"/>
    <col min="120" max="16384" width="10.81640625" style="64"/>
  </cols>
  <sheetData>
    <row r="1" spans="1:119" ht="17.5" x14ac:dyDescent="0.35">
      <c r="A1" s="66" t="s">
        <v>33</v>
      </c>
      <c r="B1" s="67"/>
      <c r="C1" s="67"/>
      <c r="D1" s="67"/>
      <c r="E1" s="67"/>
      <c r="F1" s="66"/>
      <c r="G1" s="66"/>
      <c r="H1" s="67"/>
      <c r="I1" s="67"/>
      <c r="J1" s="65"/>
      <c r="K1" s="65"/>
      <c r="L1" s="65"/>
      <c r="M1" s="65"/>
      <c r="N1" s="65"/>
      <c r="O1" s="65"/>
      <c r="P1" s="67"/>
      <c r="Q1" s="67"/>
      <c r="R1" s="65"/>
      <c r="S1" s="65"/>
      <c r="T1" s="65"/>
      <c r="U1" s="65"/>
      <c r="V1" s="65"/>
      <c r="W1" s="65"/>
      <c r="X1" s="67"/>
      <c r="Y1" s="67"/>
      <c r="Z1" s="65"/>
      <c r="AA1" s="65"/>
      <c r="AB1" s="65"/>
      <c r="AC1" s="65"/>
      <c r="AD1" s="65"/>
      <c r="AE1" s="65"/>
      <c r="AF1" s="67"/>
      <c r="AG1" s="67"/>
      <c r="AH1" s="65"/>
      <c r="AI1" s="65"/>
      <c r="AJ1" s="65"/>
      <c r="AK1" s="65"/>
      <c r="AL1" s="65"/>
      <c r="AM1" s="65"/>
      <c r="AN1" s="67"/>
      <c r="AO1" s="67"/>
      <c r="AP1" s="65"/>
      <c r="AQ1" s="65"/>
      <c r="AR1" s="65"/>
      <c r="AS1" s="65"/>
      <c r="AT1" s="65"/>
      <c r="AU1" s="65"/>
      <c r="AV1" s="67"/>
      <c r="AW1" s="67"/>
      <c r="AX1" s="65"/>
      <c r="AY1" s="65"/>
      <c r="AZ1" s="65"/>
      <c r="BA1" s="65"/>
      <c r="BB1" s="65"/>
      <c r="BC1" s="65"/>
      <c r="BD1" s="67"/>
      <c r="BE1" s="67"/>
      <c r="BF1" s="65"/>
      <c r="BG1" s="65"/>
      <c r="BH1" s="65"/>
      <c r="BI1" s="65"/>
      <c r="BJ1" s="65"/>
      <c r="BK1" s="65"/>
      <c r="BL1" s="67"/>
      <c r="BM1" s="67"/>
      <c r="BN1" s="65"/>
      <c r="BO1" s="65"/>
      <c r="BP1" s="65"/>
      <c r="BQ1" s="65"/>
      <c r="BR1" s="65"/>
      <c r="BS1" s="65"/>
      <c r="BT1" s="67"/>
      <c r="BU1" s="67"/>
      <c r="BV1" s="65"/>
      <c r="BW1" s="65"/>
      <c r="BX1" s="65"/>
      <c r="BY1" s="65"/>
      <c r="BZ1" s="65"/>
      <c r="CA1" s="65"/>
      <c r="CB1" s="67"/>
      <c r="CC1" s="67"/>
      <c r="CD1" s="65"/>
      <c r="CE1" s="65"/>
      <c r="CF1" s="65"/>
      <c r="CG1" s="65"/>
      <c r="CH1" s="65"/>
      <c r="CI1" s="65"/>
      <c r="CJ1" s="67"/>
      <c r="CK1" s="67"/>
      <c r="CL1" s="65"/>
      <c r="CM1" s="65"/>
      <c r="CN1" s="65"/>
      <c r="CO1" s="65"/>
      <c r="CP1" s="65"/>
      <c r="CQ1" s="65"/>
      <c r="CR1" s="67"/>
      <c r="CS1" s="67"/>
      <c r="CT1" s="65"/>
      <c r="CU1" s="65"/>
      <c r="CV1" s="65"/>
      <c r="CW1" s="65"/>
      <c r="CX1" s="65"/>
      <c r="CY1" s="65"/>
      <c r="CZ1" s="67"/>
      <c r="DA1" s="67"/>
      <c r="DB1" s="65"/>
      <c r="DC1" s="65"/>
      <c r="DD1" s="65"/>
      <c r="DE1" s="65"/>
      <c r="DF1" s="65"/>
      <c r="DG1" s="65"/>
      <c r="DH1" s="67"/>
      <c r="DI1" s="67"/>
      <c r="DJ1" s="65"/>
      <c r="DK1" s="65"/>
      <c r="DL1" s="65"/>
      <c r="DM1" s="65"/>
      <c r="DN1" s="65"/>
      <c r="DO1" s="65"/>
    </row>
    <row r="2" spans="1:119" x14ac:dyDescent="0.25">
      <c r="A2" s="65"/>
      <c r="B2" s="65"/>
      <c r="C2" s="65"/>
      <c r="D2" s="65"/>
      <c r="E2" s="65"/>
      <c r="F2" s="65"/>
      <c r="G2" s="65"/>
      <c r="H2" s="65"/>
      <c r="I2" s="65"/>
      <c r="J2" s="65"/>
      <c r="K2" s="65"/>
      <c r="L2" s="65"/>
      <c r="M2" s="65"/>
      <c r="N2" s="65"/>
      <c r="O2" s="65"/>
      <c r="P2" s="65"/>
      <c r="Q2" s="65"/>
      <c r="R2" s="65"/>
      <c r="S2" s="65"/>
      <c r="T2" s="65"/>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c r="AW2" s="65"/>
      <c r="AX2" s="65"/>
      <c r="AY2" s="65"/>
      <c r="AZ2" s="65"/>
      <c r="BA2" s="65"/>
      <c r="BB2" s="65"/>
      <c r="BC2" s="65"/>
      <c r="BD2" s="65"/>
      <c r="BE2" s="65"/>
      <c r="BF2" s="65"/>
      <c r="BG2" s="65"/>
      <c r="BH2" s="65"/>
      <c r="BI2" s="65"/>
      <c r="BJ2" s="65"/>
      <c r="BK2" s="65"/>
      <c r="BL2" s="65"/>
      <c r="BM2" s="65"/>
      <c r="BN2" s="65"/>
      <c r="BO2" s="65"/>
      <c r="BP2" s="65"/>
      <c r="BQ2" s="65"/>
      <c r="BR2" s="65"/>
      <c r="BS2" s="65"/>
      <c r="BT2" s="65"/>
      <c r="BU2" s="65"/>
      <c r="BV2" s="65"/>
      <c r="BW2" s="65"/>
      <c r="BX2" s="65"/>
      <c r="BY2" s="65"/>
      <c r="BZ2" s="65"/>
      <c r="CA2" s="65"/>
      <c r="CB2" s="65"/>
      <c r="CC2" s="65"/>
      <c r="CD2" s="65"/>
      <c r="CE2" s="65"/>
      <c r="CF2" s="65"/>
      <c r="CG2" s="65"/>
      <c r="CH2" s="65"/>
      <c r="CI2" s="65"/>
      <c r="CJ2" s="65"/>
      <c r="CK2" s="65"/>
      <c r="CL2" s="65"/>
      <c r="CM2" s="65"/>
      <c r="CN2" s="65"/>
      <c r="CO2" s="65"/>
      <c r="CP2" s="65"/>
      <c r="CQ2" s="65"/>
      <c r="CR2" s="65"/>
      <c r="CS2" s="65"/>
      <c r="CT2" s="65"/>
      <c r="CU2" s="65"/>
      <c r="CV2" s="65"/>
      <c r="CW2" s="65"/>
      <c r="CX2" s="65"/>
      <c r="CY2" s="65"/>
      <c r="CZ2" s="65"/>
      <c r="DA2" s="65"/>
      <c r="DB2" s="65"/>
      <c r="DC2" s="65"/>
      <c r="DD2" s="65"/>
      <c r="DE2" s="65"/>
      <c r="DF2" s="65"/>
      <c r="DG2" s="65"/>
      <c r="DH2" s="65"/>
      <c r="DI2" s="65"/>
      <c r="DJ2" s="65"/>
      <c r="DK2" s="65"/>
      <c r="DL2" s="65"/>
      <c r="DM2" s="65"/>
      <c r="DN2" s="65"/>
      <c r="DO2" s="65"/>
    </row>
    <row r="3" spans="1:119" ht="13" thickBot="1" x14ac:dyDescent="0.3">
      <c r="A3" s="141">
        <f>Übersicht!B3</f>
        <v>0</v>
      </c>
      <c r="B3" s="65"/>
      <c r="C3" s="65"/>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c r="BE3" s="65"/>
      <c r="BF3" s="65"/>
      <c r="BG3" s="65"/>
      <c r="BH3" s="65"/>
      <c r="BI3" s="65"/>
      <c r="BJ3" s="65"/>
      <c r="BK3" s="65"/>
      <c r="BL3" s="65"/>
      <c r="BM3" s="65"/>
      <c r="BN3" s="65"/>
      <c r="BO3" s="65"/>
      <c r="BP3" s="65"/>
      <c r="BQ3" s="65"/>
      <c r="BR3" s="65"/>
      <c r="BS3" s="65"/>
      <c r="BT3" s="65"/>
      <c r="BU3" s="65"/>
      <c r="BV3" s="65"/>
      <c r="BW3" s="65"/>
      <c r="BX3" s="65"/>
      <c r="BY3" s="65"/>
      <c r="BZ3" s="65"/>
      <c r="CA3" s="65"/>
      <c r="CB3" s="65"/>
      <c r="CC3" s="65"/>
      <c r="CD3" s="65"/>
      <c r="CE3" s="65"/>
      <c r="CF3" s="65"/>
      <c r="CG3" s="65"/>
      <c r="CH3" s="65"/>
      <c r="CI3" s="65"/>
      <c r="CJ3" s="65"/>
      <c r="CK3" s="65"/>
      <c r="CL3" s="65"/>
      <c r="CM3" s="65"/>
      <c r="CN3" s="65"/>
      <c r="CO3" s="65"/>
      <c r="CP3" s="65"/>
      <c r="CQ3" s="65"/>
      <c r="CR3" s="65"/>
      <c r="CS3" s="65"/>
      <c r="CT3" s="65"/>
      <c r="CU3" s="65"/>
      <c r="CV3" s="65"/>
      <c r="CW3" s="65"/>
      <c r="CX3" s="65"/>
      <c r="CY3" s="65"/>
      <c r="CZ3" s="65"/>
      <c r="DA3" s="65"/>
      <c r="DB3" s="65"/>
      <c r="DC3" s="65"/>
      <c r="DD3" s="65"/>
      <c r="DE3" s="65"/>
      <c r="DF3" s="65"/>
      <c r="DG3" s="65"/>
      <c r="DH3" s="65"/>
      <c r="DI3" s="65"/>
      <c r="DJ3" s="65"/>
      <c r="DK3" s="65"/>
      <c r="DL3" s="65"/>
      <c r="DM3" s="65"/>
      <c r="DN3" s="65"/>
      <c r="DO3" s="65"/>
    </row>
    <row r="4" spans="1:119" ht="13" x14ac:dyDescent="0.3">
      <c r="A4" s="68"/>
      <c r="B4" s="69"/>
      <c r="C4" s="69"/>
      <c r="D4" s="69"/>
      <c r="E4" s="69"/>
      <c r="F4" s="70"/>
      <c r="G4" s="65"/>
      <c r="H4" s="193" t="str">
        <f>IF(A3&lt;&gt;"","Dezember " &amp;A3- 1,"")</f>
        <v>Dezember -1</v>
      </c>
      <c r="I4" s="194"/>
      <c r="J4" s="194"/>
      <c r="K4" s="194"/>
      <c r="L4" s="194"/>
      <c r="M4" s="194"/>
      <c r="N4" s="195"/>
      <c r="O4" s="3"/>
      <c r="P4" s="196" t="str">
        <f>IF(A3&lt;&gt;"","Januar " &amp;A3,"")</f>
        <v>Januar 0</v>
      </c>
      <c r="Q4" s="197"/>
      <c r="R4" s="197"/>
      <c r="S4" s="197"/>
      <c r="T4" s="197"/>
      <c r="U4" s="197"/>
      <c r="V4" s="198"/>
      <c r="W4" s="3"/>
      <c r="X4" s="193" t="str">
        <f>IF(A3&lt;&gt;"","Februar " &amp;A3,"")</f>
        <v>Februar 0</v>
      </c>
      <c r="Y4" s="194"/>
      <c r="Z4" s="194"/>
      <c r="AA4" s="194"/>
      <c r="AB4" s="194"/>
      <c r="AC4" s="194"/>
      <c r="AD4" s="195"/>
      <c r="AE4" s="3"/>
      <c r="AF4" s="196" t="str">
        <f>IF(A3&lt;&gt;"","März " &amp;A3,"")</f>
        <v>März 0</v>
      </c>
      <c r="AG4" s="197"/>
      <c r="AH4" s="197"/>
      <c r="AI4" s="197"/>
      <c r="AJ4" s="197"/>
      <c r="AK4" s="197"/>
      <c r="AL4" s="198"/>
      <c r="AM4" s="19"/>
      <c r="AN4" s="193" t="str">
        <f>IF(A3&lt;&gt;"","April " &amp;A3,"")</f>
        <v>April 0</v>
      </c>
      <c r="AO4" s="194"/>
      <c r="AP4" s="194"/>
      <c r="AQ4" s="194"/>
      <c r="AR4" s="194"/>
      <c r="AS4" s="194"/>
      <c r="AT4" s="195"/>
      <c r="AU4" s="19"/>
      <c r="AV4" s="196" t="str">
        <f>IF(A3&lt;&gt;"","Mai " &amp;A3,"")</f>
        <v>Mai 0</v>
      </c>
      <c r="AW4" s="197"/>
      <c r="AX4" s="197"/>
      <c r="AY4" s="197"/>
      <c r="AZ4" s="197"/>
      <c r="BA4" s="197"/>
      <c r="BB4" s="198"/>
      <c r="BC4" s="19"/>
      <c r="BD4" s="193" t="str">
        <f>IF(A3&lt;&gt;"","Juni " &amp;A3,"")</f>
        <v>Juni 0</v>
      </c>
      <c r="BE4" s="194"/>
      <c r="BF4" s="194"/>
      <c r="BG4" s="194"/>
      <c r="BH4" s="194"/>
      <c r="BI4" s="194"/>
      <c r="BJ4" s="195"/>
      <c r="BK4" s="19"/>
      <c r="BL4" s="196" t="str">
        <f>IF(A3&lt;&gt;"","Juli " &amp;A3,"")</f>
        <v>Juli 0</v>
      </c>
      <c r="BM4" s="197"/>
      <c r="BN4" s="197"/>
      <c r="BO4" s="197"/>
      <c r="BP4" s="197"/>
      <c r="BQ4" s="197"/>
      <c r="BR4" s="198"/>
      <c r="BS4" s="19"/>
      <c r="BT4" s="193" t="str">
        <f>IF(A3&lt;&gt;"","August 1 " &amp;A3,"")</f>
        <v>August 1 0</v>
      </c>
      <c r="BU4" s="194"/>
      <c r="BV4" s="194"/>
      <c r="BW4" s="194"/>
      <c r="BX4" s="194"/>
      <c r="BY4" s="194"/>
      <c r="BZ4" s="195"/>
      <c r="CA4" s="19"/>
      <c r="CB4" s="193" t="str">
        <f>IF(A3&lt;&gt;"","August 2 " &amp;A3,"")</f>
        <v>August 2 0</v>
      </c>
      <c r="CC4" s="194"/>
      <c r="CD4" s="194"/>
      <c r="CE4" s="194"/>
      <c r="CF4" s="194"/>
      <c r="CG4" s="194"/>
      <c r="CH4" s="195"/>
      <c r="CI4" s="19"/>
      <c r="CJ4" s="196" t="str">
        <f>IF(A3&lt;&gt;"","September " &amp;A3,"")</f>
        <v>September 0</v>
      </c>
      <c r="CK4" s="197"/>
      <c r="CL4" s="197"/>
      <c r="CM4" s="197"/>
      <c r="CN4" s="197"/>
      <c r="CO4" s="197"/>
      <c r="CP4" s="198"/>
      <c r="CQ4" s="19"/>
      <c r="CR4" s="193" t="str">
        <f>IF(A3&lt;&gt;"","Oktober " &amp;A3,"")</f>
        <v>Oktober 0</v>
      </c>
      <c r="CS4" s="194"/>
      <c r="CT4" s="194"/>
      <c r="CU4" s="194"/>
      <c r="CV4" s="194"/>
      <c r="CW4" s="194"/>
      <c r="CX4" s="195"/>
      <c r="CY4" s="19"/>
      <c r="CZ4" s="196" t="str">
        <f>IF(A3&lt;&gt;"","November " &amp;A3,"")</f>
        <v>November 0</v>
      </c>
      <c r="DA4" s="197"/>
      <c r="DB4" s="197"/>
      <c r="DC4" s="197"/>
      <c r="DD4" s="197"/>
      <c r="DE4" s="197"/>
      <c r="DF4" s="198"/>
      <c r="DG4" s="19"/>
      <c r="DH4" s="193" t="str">
        <f>IF(A3&lt;&gt;"","Dezember " &amp;A3,"")</f>
        <v>Dezember 0</v>
      </c>
      <c r="DI4" s="194"/>
      <c r="DJ4" s="194"/>
      <c r="DK4" s="194"/>
      <c r="DL4" s="194"/>
      <c r="DM4" s="194"/>
      <c r="DN4" s="195"/>
      <c r="DO4" s="65"/>
    </row>
    <row r="5" spans="1:119" ht="13" hidden="1" x14ac:dyDescent="0.3">
      <c r="A5" s="185"/>
      <c r="B5" s="65"/>
      <c r="C5" s="65"/>
      <c r="D5" s="65"/>
      <c r="E5" s="65"/>
      <c r="F5" s="112"/>
      <c r="G5" s="65"/>
      <c r="H5" s="186">
        <v>12</v>
      </c>
      <c r="I5" s="187">
        <v>12</v>
      </c>
      <c r="J5" s="187">
        <v>12</v>
      </c>
      <c r="K5" s="187">
        <v>12</v>
      </c>
      <c r="L5" s="187">
        <v>12</v>
      </c>
      <c r="M5" s="187"/>
      <c r="N5" s="188"/>
      <c r="O5" s="3"/>
      <c r="P5" s="189">
        <v>1</v>
      </c>
      <c r="Q5" s="190">
        <v>1</v>
      </c>
      <c r="R5" s="190">
        <v>1</v>
      </c>
      <c r="S5" s="190">
        <v>1</v>
      </c>
      <c r="T5" s="190">
        <v>1</v>
      </c>
      <c r="U5" s="190"/>
      <c r="V5" s="191"/>
      <c r="W5" s="3"/>
      <c r="X5" s="186">
        <f>P5+1</f>
        <v>2</v>
      </c>
      <c r="Y5" s="187">
        <f t="shared" ref="Y5:AB5" si="0">Q5+1</f>
        <v>2</v>
      </c>
      <c r="Z5" s="187">
        <f t="shared" si="0"/>
        <v>2</v>
      </c>
      <c r="AA5" s="187">
        <f t="shared" si="0"/>
        <v>2</v>
      </c>
      <c r="AB5" s="187">
        <f t="shared" si="0"/>
        <v>2</v>
      </c>
      <c r="AC5" s="187"/>
      <c r="AD5" s="188"/>
      <c r="AE5" s="3"/>
      <c r="AF5" s="189">
        <f>X5+1</f>
        <v>3</v>
      </c>
      <c r="AG5" s="190">
        <f t="shared" ref="AG5" si="1">Y5+1</f>
        <v>3</v>
      </c>
      <c r="AH5" s="190">
        <f t="shared" ref="AH5" si="2">Z5+1</f>
        <v>3</v>
      </c>
      <c r="AI5" s="190">
        <f t="shared" ref="AI5" si="3">AA5+1</f>
        <v>3</v>
      </c>
      <c r="AJ5" s="190">
        <f t="shared" ref="AJ5" si="4">AB5+1</f>
        <v>3</v>
      </c>
      <c r="AK5" s="190"/>
      <c r="AL5" s="191"/>
      <c r="AM5" s="19"/>
      <c r="AN5" s="186">
        <f>AF5+1</f>
        <v>4</v>
      </c>
      <c r="AO5" s="187">
        <f t="shared" ref="AO5" si="5">AG5+1</f>
        <v>4</v>
      </c>
      <c r="AP5" s="187">
        <f t="shared" ref="AP5" si="6">AH5+1</f>
        <v>4</v>
      </c>
      <c r="AQ5" s="187">
        <f t="shared" ref="AQ5" si="7">AI5+1</f>
        <v>4</v>
      </c>
      <c r="AR5" s="187">
        <f t="shared" ref="AR5" si="8">AJ5+1</f>
        <v>4</v>
      </c>
      <c r="AS5" s="187"/>
      <c r="AT5" s="188"/>
      <c r="AU5" s="3"/>
      <c r="AV5" s="189">
        <f>AN5+1</f>
        <v>5</v>
      </c>
      <c r="AW5" s="190">
        <f t="shared" ref="AW5" si="9">AO5+1</f>
        <v>5</v>
      </c>
      <c r="AX5" s="190">
        <f t="shared" ref="AX5" si="10">AP5+1</f>
        <v>5</v>
      </c>
      <c r="AY5" s="190">
        <f t="shared" ref="AY5" si="11">AQ5+1</f>
        <v>5</v>
      </c>
      <c r="AZ5" s="190">
        <f t="shared" ref="AZ5" si="12">AR5+1</f>
        <v>5</v>
      </c>
      <c r="BA5" s="190"/>
      <c r="BB5" s="191"/>
      <c r="BC5" s="19"/>
      <c r="BD5" s="186">
        <f>AV5+1</f>
        <v>6</v>
      </c>
      <c r="BE5" s="187">
        <f t="shared" ref="BE5" si="13">AW5+1</f>
        <v>6</v>
      </c>
      <c r="BF5" s="187">
        <f t="shared" ref="BF5" si="14">AX5+1</f>
        <v>6</v>
      </c>
      <c r="BG5" s="187">
        <f t="shared" ref="BG5" si="15">AY5+1</f>
        <v>6</v>
      </c>
      <c r="BH5" s="187">
        <f t="shared" ref="BH5" si="16">AZ5+1</f>
        <v>6</v>
      </c>
      <c r="BI5" s="187"/>
      <c r="BJ5" s="188"/>
      <c r="BK5" s="3"/>
      <c r="BL5" s="189">
        <f>BD5+1</f>
        <v>7</v>
      </c>
      <c r="BM5" s="190">
        <f t="shared" ref="BM5" si="17">BE5+1</f>
        <v>7</v>
      </c>
      <c r="BN5" s="190">
        <f t="shared" ref="BN5" si="18">BF5+1</f>
        <v>7</v>
      </c>
      <c r="BO5" s="190">
        <f t="shared" ref="BO5" si="19">BG5+1</f>
        <v>7</v>
      </c>
      <c r="BP5" s="190">
        <f t="shared" ref="BP5" si="20">BH5+1</f>
        <v>7</v>
      </c>
      <c r="BQ5" s="190"/>
      <c r="BR5" s="191"/>
      <c r="BS5" s="19"/>
      <c r="BT5" s="186">
        <f>BL5+1</f>
        <v>8</v>
      </c>
      <c r="BU5" s="187">
        <f t="shared" ref="BU5" si="21">BM5+1</f>
        <v>8</v>
      </c>
      <c r="BV5" s="187">
        <f t="shared" ref="BV5" si="22">BN5+1</f>
        <v>8</v>
      </c>
      <c r="BW5" s="187">
        <f t="shared" ref="BW5" si="23">BO5+1</f>
        <v>8</v>
      </c>
      <c r="BX5" s="187">
        <f t="shared" ref="BX5" si="24">BP5+1</f>
        <v>8</v>
      </c>
      <c r="BY5" s="187"/>
      <c r="BZ5" s="188"/>
      <c r="CA5" s="19"/>
      <c r="CB5" s="186">
        <f>BT5</f>
        <v>8</v>
      </c>
      <c r="CC5" s="187">
        <f t="shared" ref="CC5:CF5" si="25">BU5</f>
        <v>8</v>
      </c>
      <c r="CD5" s="187">
        <f t="shared" si="25"/>
        <v>8</v>
      </c>
      <c r="CE5" s="187">
        <f t="shared" si="25"/>
        <v>8</v>
      </c>
      <c r="CF5" s="187">
        <f t="shared" si="25"/>
        <v>8</v>
      </c>
      <c r="CG5" s="187"/>
      <c r="CH5" s="188"/>
      <c r="CI5" s="19"/>
      <c r="CJ5" s="189">
        <f>CB5+1</f>
        <v>9</v>
      </c>
      <c r="CK5" s="190">
        <f t="shared" ref="CK5" si="26">CC5+1</f>
        <v>9</v>
      </c>
      <c r="CL5" s="190">
        <f t="shared" ref="CL5" si="27">CD5+1</f>
        <v>9</v>
      </c>
      <c r="CM5" s="190">
        <f t="shared" ref="CM5" si="28">CE5+1</f>
        <v>9</v>
      </c>
      <c r="CN5" s="190">
        <f t="shared" ref="CN5" si="29">CF5+1</f>
        <v>9</v>
      </c>
      <c r="CO5" s="190"/>
      <c r="CP5" s="191"/>
      <c r="CQ5" s="19"/>
      <c r="CR5" s="186">
        <f>CJ5+1</f>
        <v>10</v>
      </c>
      <c r="CS5" s="187">
        <f t="shared" ref="CS5" si="30">CK5+1</f>
        <v>10</v>
      </c>
      <c r="CT5" s="187">
        <f t="shared" ref="CT5" si="31">CL5+1</f>
        <v>10</v>
      </c>
      <c r="CU5" s="187">
        <f t="shared" ref="CU5" si="32">CM5+1</f>
        <v>10</v>
      </c>
      <c r="CV5" s="187">
        <f t="shared" ref="CV5" si="33">CN5+1</f>
        <v>10</v>
      </c>
      <c r="CW5" s="187"/>
      <c r="CX5" s="188"/>
      <c r="CY5" s="3"/>
      <c r="CZ5" s="189">
        <f>CR5+1</f>
        <v>11</v>
      </c>
      <c r="DA5" s="190">
        <f t="shared" ref="DA5" si="34">CS5+1</f>
        <v>11</v>
      </c>
      <c r="DB5" s="190">
        <f t="shared" ref="DB5" si="35">CT5+1</f>
        <v>11</v>
      </c>
      <c r="DC5" s="190">
        <f t="shared" ref="DC5" si="36">CU5+1</f>
        <v>11</v>
      </c>
      <c r="DD5" s="190">
        <f t="shared" ref="DD5" si="37">CV5+1</f>
        <v>11</v>
      </c>
      <c r="DE5" s="190"/>
      <c r="DF5" s="191"/>
      <c r="DG5" s="19"/>
      <c r="DH5" s="186">
        <f>CZ5+1</f>
        <v>12</v>
      </c>
      <c r="DI5" s="187">
        <f t="shared" ref="DI5" si="38">DA5+1</f>
        <v>12</v>
      </c>
      <c r="DJ5" s="187">
        <f t="shared" ref="DJ5" si="39">DB5+1</f>
        <v>12</v>
      </c>
      <c r="DK5" s="187">
        <f t="shared" ref="DK5" si="40">DC5+1</f>
        <v>12</v>
      </c>
      <c r="DL5" s="187">
        <f t="shared" ref="DL5" si="41">DD5+1</f>
        <v>12</v>
      </c>
      <c r="DM5" s="187"/>
      <c r="DN5" s="188"/>
      <c r="DO5" s="65"/>
    </row>
    <row r="6" spans="1:119" x14ac:dyDescent="0.25">
      <c r="A6" s="71"/>
      <c r="B6" s="67"/>
      <c r="C6" s="67"/>
      <c r="D6" s="67"/>
      <c r="E6" s="67"/>
      <c r="F6" s="72"/>
      <c r="G6" s="72"/>
      <c r="H6" s="73"/>
      <c r="I6" s="74"/>
      <c r="J6" s="74"/>
      <c r="K6" s="74"/>
      <c r="L6" s="74"/>
      <c r="M6" s="75"/>
      <c r="N6" s="76"/>
      <c r="O6" s="71"/>
      <c r="P6" s="77"/>
      <c r="Q6" s="78"/>
      <c r="R6" s="78"/>
      <c r="S6" s="78"/>
      <c r="T6" s="78"/>
      <c r="U6" s="79"/>
      <c r="V6" s="80"/>
      <c r="W6" s="81"/>
      <c r="X6" s="73"/>
      <c r="Y6" s="74"/>
      <c r="Z6" s="74"/>
      <c r="AA6" s="74"/>
      <c r="AB6" s="74"/>
      <c r="AC6" s="75"/>
      <c r="AD6" s="76"/>
      <c r="AE6" s="71"/>
      <c r="AF6" s="77"/>
      <c r="AG6" s="78"/>
      <c r="AH6" s="78"/>
      <c r="AI6" s="78"/>
      <c r="AJ6" s="78"/>
      <c r="AK6" s="79"/>
      <c r="AL6" s="80"/>
      <c r="AM6" s="81"/>
      <c r="AN6" s="73"/>
      <c r="AO6" s="74"/>
      <c r="AP6" s="74"/>
      <c r="AQ6" s="74"/>
      <c r="AR6" s="74"/>
      <c r="AS6" s="75"/>
      <c r="AT6" s="76"/>
      <c r="AU6" s="71"/>
      <c r="AV6" s="77"/>
      <c r="AW6" s="78"/>
      <c r="AX6" s="78"/>
      <c r="AY6" s="78"/>
      <c r="AZ6" s="78"/>
      <c r="BA6" s="79"/>
      <c r="BB6" s="80"/>
      <c r="BC6" s="81"/>
      <c r="BD6" s="73"/>
      <c r="BE6" s="74"/>
      <c r="BF6" s="74"/>
      <c r="BG6" s="74"/>
      <c r="BH6" s="74"/>
      <c r="BI6" s="75"/>
      <c r="BJ6" s="76"/>
      <c r="BK6" s="71"/>
      <c r="BL6" s="77"/>
      <c r="BM6" s="78"/>
      <c r="BN6" s="78"/>
      <c r="BO6" s="78"/>
      <c r="BP6" s="78"/>
      <c r="BQ6" s="79"/>
      <c r="BR6" s="80"/>
      <c r="BS6" s="81"/>
      <c r="BT6" s="73"/>
      <c r="BU6" s="74"/>
      <c r="BV6" s="74"/>
      <c r="BW6" s="74"/>
      <c r="BX6" s="74"/>
      <c r="BY6" s="75"/>
      <c r="BZ6" s="76"/>
      <c r="CA6" s="71"/>
      <c r="CB6" s="73"/>
      <c r="CC6" s="74"/>
      <c r="CD6" s="74"/>
      <c r="CE6" s="74"/>
      <c r="CF6" s="74"/>
      <c r="CG6" s="75"/>
      <c r="CH6" s="76"/>
      <c r="CI6" s="71"/>
      <c r="CJ6" s="77"/>
      <c r="CK6" s="78"/>
      <c r="CL6" s="78"/>
      <c r="CM6" s="78"/>
      <c r="CN6" s="78"/>
      <c r="CO6" s="79"/>
      <c r="CP6" s="80"/>
      <c r="CQ6" s="81"/>
      <c r="CR6" s="73"/>
      <c r="CS6" s="74"/>
      <c r="CT6" s="74"/>
      <c r="CU6" s="74"/>
      <c r="CV6" s="74"/>
      <c r="CW6" s="75"/>
      <c r="CX6" s="76"/>
      <c r="CY6" s="71"/>
      <c r="CZ6" s="77"/>
      <c r="DA6" s="78"/>
      <c r="DB6" s="78"/>
      <c r="DC6" s="78"/>
      <c r="DD6" s="78"/>
      <c r="DE6" s="79"/>
      <c r="DF6" s="80"/>
      <c r="DG6" s="81"/>
      <c r="DH6" s="73"/>
      <c r="DI6" s="74"/>
      <c r="DJ6" s="74"/>
      <c r="DK6" s="74"/>
      <c r="DL6" s="74"/>
      <c r="DM6" s="75"/>
      <c r="DN6" s="76"/>
      <c r="DO6" s="71"/>
    </row>
    <row r="7" spans="1:119" ht="23" x14ac:dyDescent="0.25">
      <c r="A7" s="82" t="s">
        <v>6</v>
      </c>
      <c r="B7" s="83" t="s">
        <v>9</v>
      </c>
      <c r="C7" s="83" t="s">
        <v>78</v>
      </c>
      <c r="D7" s="83" t="s">
        <v>79</v>
      </c>
      <c r="E7" s="83" t="s">
        <v>80</v>
      </c>
      <c r="F7" s="84" t="s">
        <v>5</v>
      </c>
      <c r="G7" s="85"/>
      <c r="H7" s="86" t="s">
        <v>0</v>
      </c>
      <c r="I7" s="87" t="s">
        <v>1</v>
      </c>
      <c r="J7" s="87" t="s">
        <v>2</v>
      </c>
      <c r="K7" s="87" t="s">
        <v>3</v>
      </c>
      <c r="L7" s="87" t="s">
        <v>4</v>
      </c>
      <c r="M7" s="88" t="s">
        <v>13</v>
      </c>
      <c r="N7" s="89" t="s">
        <v>14</v>
      </c>
      <c r="O7" s="90"/>
      <c r="P7" s="86" t="s">
        <v>0</v>
      </c>
      <c r="Q7" s="87" t="s">
        <v>1</v>
      </c>
      <c r="R7" s="87" t="s">
        <v>2</v>
      </c>
      <c r="S7" s="87" t="s">
        <v>3</v>
      </c>
      <c r="T7" s="87" t="s">
        <v>4</v>
      </c>
      <c r="U7" s="88" t="s">
        <v>13</v>
      </c>
      <c r="V7" s="89" t="s">
        <v>14</v>
      </c>
      <c r="W7" s="91"/>
      <c r="X7" s="86" t="s">
        <v>0</v>
      </c>
      <c r="Y7" s="87" t="s">
        <v>1</v>
      </c>
      <c r="Z7" s="87" t="s">
        <v>2</v>
      </c>
      <c r="AA7" s="87" t="s">
        <v>3</v>
      </c>
      <c r="AB7" s="87" t="s">
        <v>4</v>
      </c>
      <c r="AC7" s="87" t="s">
        <v>13</v>
      </c>
      <c r="AD7" s="92" t="s">
        <v>14</v>
      </c>
      <c r="AE7" s="90"/>
      <c r="AF7" s="86" t="s">
        <v>0</v>
      </c>
      <c r="AG7" s="87" t="s">
        <v>1</v>
      </c>
      <c r="AH7" s="87" t="s">
        <v>2</v>
      </c>
      <c r="AI7" s="87" t="s">
        <v>3</v>
      </c>
      <c r="AJ7" s="87" t="s">
        <v>4</v>
      </c>
      <c r="AK7" s="88" t="s">
        <v>13</v>
      </c>
      <c r="AL7" s="89" t="s">
        <v>14</v>
      </c>
      <c r="AM7" s="91"/>
      <c r="AN7" s="86" t="s">
        <v>0</v>
      </c>
      <c r="AO7" s="87" t="s">
        <v>1</v>
      </c>
      <c r="AP7" s="87" t="s">
        <v>2</v>
      </c>
      <c r="AQ7" s="87" t="s">
        <v>3</v>
      </c>
      <c r="AR7" s="87" t="s">
        <v>4</v>
      </c>
      <c r="AS7" s="87" t="s">
        <v>13</v>
      </c>
      <c r="AT7" s="92" t="s">
        <v>14</v>
      </c>
      <c r="AU7" s="90"/>
      <c r="AV7" s="86" t="s">
        <v>0</v>
      </c>
      <c r="AW7" s="87" t="s">
        <v>1</v>
      </c>
      <c r="AX7" s="87" t="s">
        <v>2</v>
      </c>
      <c r="AY7" s="87" t="s">
        <v>3</v>
      </c>
      <c r="AZ7" s="87" t="s">
        <v>4</v>
      </c>
      <c r="BA7" s="88" t="s">
        <v>13</v>
      </c>
      <c r="BB7" s="89" t="s">
        <v>14</v>
      </c>
      <c r="BC7" s="91"/>
      <c r="BD7" s="86" t="s">
        <v>0</v>
      </c>
      <c r="BE7" s="87" t="s">
        <v>1</v>
      </c>
      <c r="BF7" s="87" t="s">
        <v>2</v>
      </c>
      <c r="BG7" s="87" t="s">
        <v>3</v>
      </c>
      <c r="BH7" s="87" t="s">
        <v>4</v>
      </c>
      <c r="BI7" s="87" t="s">
        <v>13</v>
      </c>
      <c r="BJ7" s="92" t="s">
        <v>14</v>
      </c>
      <c r="BK7" s="90"/>
      <c r="BL7" s="86" t="s">
        <v>0</v>
      </c>
      <c r="BM7" s="87" t="s">
        <v>1</v>
      </c>
      <c r="BN7" s="87" t="s">
        <v>2</v>
      </c>
      <c r="BO7" s="87" t="s">
        <v>3</v>
      </c>
      <c r="BP7" s="87" t="s">
        <v>4</v>
      </c>
      <c r="BQ7" s="88" t="s">
        <v>13</v>
      </c>
      <c r="BR7" s="89" t="s">
        <v>14</v>
      </c>
      <c r="BS7" s="91"/>
      <c r="BT7" s="86" t="s">
        <v>0</v>
      </c>
      <c r="BU7" s="87" t="s">
        <v>1</v>
      </c>
      <c r="BV7" s="87" t="s">
        <v>2</v>
      </c>
      <c r="BW7" s="87" t="s">
        <v>3</v>
      </c>
      <c r="BX7" s="87" t="s">
        <v>4</v>
      </c>
      <c r="BY7" s="87" t="s">
        <v>13</v>
      </c>
      <c r="BZ7" s="92" t="s">
        <v>14</v>
      </c>
      <c r="CA7" s="90"/>
      <c r="CB7" s="86" t="s">
        <v>0</v>
      </c>
      <c r="CC7" s="87" t="s">
        <v>1</v>
      </c>
      <c r="CD7" s="87" t="s">
        <v>2</v>
      </c>
      <c r="CE7" s="87" t="s">
        <v>3</v>
      </c>
      <c r="CF7" s="87" t="s">
        <v>4</v>
      </c>
      <c r="CG7" s="87" t="s">
        <v>13</v>
      </c>
      <c r="CH7" s="92" t="s">
        <v>14</v>
      </c>
      <c r="CI7" s="90"/>
      <c r="CJ7" s="86" t="s">
        <v>0</v>
      </c>
      <c r="CK7" s="87" t="s">
        <v>1</v>
      </c>
      <c r="CL7" s="87" t="s">
        <v>2</v>
      </c>
      <c r="CM7" s="87" t="s">
        <v>3</v>
      </c>
      <c r="CN7" s="87" t="s">
        <v>4</v>
      </c>
      <c r="CO7" s="88" t="s">
        <v>13</v>
      </c>
      <c r="CP7" s="89" t="s">
        <v>14</v>
      </c>
      <c r="CQ7" s="91"/>
      <c r="CR7" s="86" t="s">
        <v>0</v>
      </c>
      <c r="CS7" s="87" t="s">
        <v>1</v>
      </c>
      <c r="CT7" s="87" t="s">
        <v>2</v>
      </c>
      <c r="CU7" s="87" t="s">
        <v>3</v>
      </c>
      <c r="CV7" s="87" t="s">
        <v>4</v>
      </c>
      <c r="CW7" s="87" t="s">
        <v>13</v>
      </c>
      <c r="CX7" s="92" t="s">
        <v>14</v>
      </c>
      <c r="CY7" s="90"/>
      <c r="CZ7" s="86" t="s">
        <v>0</v>
      </c>
      <c r="DA7" s="87" t="s">
        <v>1</v>
      </c>
      <c r="DB7" s="87" t="s">
        <v>2</v>
      </c>
      <c r="DC7" s="87" t="s">
        <v>3</v>
      </c>
      <c r="DD7" s="87" t="s">
        <v>4</v>
      </c>
      <c r="DE7" s="88" t="s">
        <v>13</v>
      </c>
      <c r="DF7" s="89" t="s">
        <v>14</v>
      </c>
      <c r="DG7" s="91"/>
      <c r="DH7" s="86" t="s">
        <v>0</v>
      </c>
      <c r="DI7" s="87" t="s">
        <v>1</v>
      </c>
      <c r="DJ7" s="87" t="s">
        <v>2</v>
      </c>
      <c r="DK7" s="87" t="s">
        <v>3</v>
      </c>
      <c r="DL7" s="87" t="s">
        <v>4</v>
      </c>
      <c r="DM7" s="87" t="s">
        <v>13</v>
      </c>
      <c r="DN7" s="92" t="s">
        <v>14</v>
      </c>
      <c r="DO7" s="90"/>
    </row>
    <row r="8" spans="1:119" x14ac:dyDescent="0.25">
      <c r="A8" s="50"/>
      <c r="B8" s="51"/>
      <c r="C8" s="31" t="str">
        <f ca="1">IF(B8&lt;&gt;"",DATEDIF(B8,TODAY(),"Y")&amp;" J, " &amp; DATEDIF(B8,TODAY(),"YM")&amp; " Mt","")</f>
        <v/>
      </c>
      <c r="D8" s="192"/>
      <c r="E8" s="192"/>
      <c r="F8" s="52"/>
      <c r="G8" s="53"/>
      <c r="H8" s="54"/>
      <c r="I8" s="55"/>
      <c r="J8" s="55"/>
      <c r="K8" s="55"/>
      <c r="L8" s="55"/>
      <c r="M8" s="56"/>
      <c r="N8" s="57"/>
      <c r="O8" s="58"/>
      <c r="P8" s="59" t="str">
        <f>IF(AND(DATE($A$3,P$5,1)&gt;=$D8,DATE($A$3,P$5,1)&lt;$E8),IF(H8="","",IF(H8=1.5,IF(DATE($A$3,P$5,1)&gt;EDATE($B8,18),1,H8),H8)), "")</f>
        <v/>
      </c>
      <c r="Q8" s="60" t="str">
        <f t="shared" ref="Q8:T8" si="42">IF(AND(DATE($A$3,Q$5,1)&gt;=$D8,DATE($A$3,Q$5,1)&lt;$E8),IF(I8="","",IF(I8=1.5,IF(DATE($A$3,Q$5,1)&gt;EDATE($B8,18),1,I8),I8)), "")</f>
        <v/>
      </c>
      <c r="R8" s="60" t="str">
        <f t="shared" si="42"/>
        <v/>
      </c>
      <c r="S8" s="60" t="str">
        <f t="shared" si="42"/>
        <v/>
      </c>
      <c r="T8" s="60" t="str">
        <f t="shared" si="42"/>
        <v/>
      </c>
      <c r="U8" s="61" t="str">
        <f t="shared" ref="U8:U9" si="43">IF(M8="","",M8)</f>
        <v/>
      </c>
      <c r="V8" s="62"/>
      <c r="W8" s="63"/>
      <c r="X8" s="54" t="str">
        <f>IF(AND(DATE($A$3,X$5,1)&gt;=$D8,DATE($A$3,X$5,1)&lt;$E8),IF(P8="","",IF(P8=1.5,IF(DATE($A$3,X$5,1)&gt;EDATE($B8,18),1,P8),P8)), "")</f>
        <v/>
      </c>
      <c r="Y8" s="55" t="str">
        <f t="shared" ref="Y8:Y9" si="44">IF(AND(DATE($A$3,Y$5,1)&gt;=$D8,DATE($A$3,Y$5,1)&lt;$E8),IF(Q8="","",IF(Q8=1.5,IF(DATE($A$3,Y$5,1)&gt;EDATE($B8,18),1,Q8),Q8)), "")</f>
        <v/>
      </c>
      <c r="Z8" s="55" t="str">
        <f t="shared" ref="Z8:Z9" si="45">IF(AND(DATE($A$3,Z$5,1)&gt;=$D8,DATE($A$3,Z$5,1)&lt;$E8),IF(R8="","",IF(R8=1.5,IF(DATE($A$3,Z$5,1)&gt;EDATE($B8,18),1,R8),R8)), "")</f>
        <v/>
      </c>
      <c r="AA8" s="55" t="str">
        <f t="shared" ref="AA8:AA9" si="46">IF(AND(DATE($A$3,AA$5,1)&gt;=$D8,DATE($A$3,AA$5,1)&lt;$E8),IF(S8="","",IF(S8=1.5,IF(DATE($A$3,AA$5,1)&gt;EDATE($B8,18),1,S8),S8)), "")</f>
        <v/>
      </c>
      <c r="AB8" s="55" t="str">
        <f t="shared" ref="AB8:AB9" si="47">IF(AND(DATE($A$3,AB$5,1)&gt;=$D8,DATE($A$3,AB$5,1)&lt;$E8),IF(T8="","",IF(T8=1.5,IF(DATE($A$3,AB$5,1)&gt;EDATE($B8,18),1,T8),T8)), "")</f>
        <v/>
      </c>
      <c r="AC8" s="56" t="str">
        <f t="shared" ref="AC8:AC9" si="48">IF(U8="","",U8)</f>
        <v/>
      </c>
      <c r="AD8" s="57"/>
      <c r="AE8" s="58"/>
      <c r="AF8" s="59" t="str">
        <f>IF(AND(DATE($A$3,AF$5,1)&gt;=$D8,DATE($A$3,AF$5,1)&lt;$E8),IF(X8="","",IF(X8=1.5,IF(DATE($A$3,AF$5,1)&gt;EDATE($B8,18),1,X8),X8)), "")</f>
        <v/>
      </c>
      <c r="AG8" s="60" t="str">
        <f t="shared" ref="AG8:AG9" si="49">IF(AND(DATE($A$3,AG$5,1)&gt;=$D8,DATE($A$3,AG$5,1)&lt;$E8),IF(Y8="","",IF(Y8=1.5,IF(DATE($A$3,AG$5,1)&gt;EDATE($B8,18),1,Y8),Y8)), "")</f>
        <v/>
      </c>
      <c r="AH8" s="60" t="str">
        <f t="shared" ref="AH8:AH9" si="50">IF(AND(DATE($A$3,AH$5,1)&gt;=$D8,DATE($A$3,AH$5,1)&lt;$E8),IF(Z8="","",IF(Z8=1.5,IF(DATE($A$3,AH$5,1)&gt;EDATE($B8,18),1,Z8),Z8)), "")</f>
        <v/>
      </c>
      <c r="AI8" s="60" t="str">
        <f t="shared" ref="AI8:AI9" si="51">IF(AND(DATE($A$3,AI$5,1)&gt;=$D8,DATE($A$3,AI$5,1)&lt;$E8),IF(AA8="","",IF(AA8=1.5,IF(DATE($A$3,AI$5,1)&gt;EDATE($B8,18),1,AA8),AA8)), "")</f>
        <v/>
      </c>
      <c r="AJ8" s="60" t="str">
        <f t="shared" ref="AJ8:AJ9" si="52">IF(AND(DATE($A$3,AJ$5,1)&gt;=$D8,DATE($A$3,AJ$5,1)&lt;$E8),IF(AB8="","",IF(AB8=1.5,IF(DATE($A$3,AJ$5,1)&gt;EDATE($B8,18),1,AB8),AB8)), "")</f>
        <v/>
      </c>
      <c r="AK8" s="61" t="str">
        <f t="shared" ref="AK8:AK9" si="53">IF(AC8="","",AC8)</f>
        <v/>
      </c>
      <c r="AL8" s="62"/>
      <c r="AM8" s="63"/>
      <c r="AN8" s="54" t="str">
        <f>IF(AND(DATE($A$3,AN$5,1)&gt;=$D8,DATE($A$3,AN$5,1)&lt;$E8),IF(AF8="","",IF(AF8=1.5,IF(DATE($A$3,AN$5,1)&gt;EDATE($B8,18),1,AF8),AF8)), "")</f>
        <v/>
      </c>
      <c r="AO8" s="55" t="str">
        <f t="shared" ref="AO8:AO9" si="54">IF(AND(DATE($A$3,AO$5,1)&gt;=$D8,DATE($A$3,AO$5,1)&lt;$E8),IF(AG8="","",IF(AG8=1.5,IF(DATE($A$3,AO$5,1)&gt;EDATE($B8,18),1,AG8),AG8)), "")</f>
        <v/>
      </c>
      <c r="AP8" s="55" t="str">
        <f t="shared" ref="AP8:AP9" si="55">IF(AND(DATE($A$3,AP$5,1)&gt;=$D8,DATE($A$3,AP$5,1)&lt;$E8),IF(AH8="","",IF(AH8=1.5,IF(DATE($A$3,AP$5,1)&gt;EDATE($B8,18),1,AH8),AH8)), "")</f>
        <v/>
      </c>
      <c r="AQ8" s="55" t="str">
        <f t="shared" ref="AQ8:AQ9" si="56">IF(AND(DATE($A$3,AQ$5,1)&gt;=$D8,DATE($A$3,AQ$5,1)&lt;$E8),IF(AI8="","",IF(AI8=1.5,IF(DATE($A$3,AQ$5,1)&gt;EDATE($B8,18),1,AI8),AI8)), "")</f>
        <v/>
      </c>
      <c r="AR8" s="55" t="str">
        <f t="shared" ref="AR8:AR9" si="57">IF(AND(DATE($A$3,AR$5,1)&gt;=$D8,DATE($A$3,AR$5,1)&lt;$E8),IF(AJ8="","",IF(AJ8=1.5,IF(DATE($A$3,AR$5,1)&gt;EDATE($B8,18),1,AJ8),AJ8)), "")</f>
        <v/>
      </c>
      <c r="AS8" s="56" t="str">
        <f t="shared" ref="AS8:AS9" si="58">IF(AK8="","",AK8)</f>
        <v/>
      </c>
      <c r="AT8" s="57"/>
      <c r="AU8" s="58"/>
      <c r="AV8" s="59" t="str">
        <f>IF(AND(DATE($A$3,AV$5,1)&gt;=$D8,DATE($A$3,AV$5,1)&lt;$E8),IF(AN8="","",IF(AN8=1.5,IF(DATE($A$3,AV$5,1)&gt;EDATE($B8,18),1,AN8),AN8)), "")</f>
        <v/>
      </c>
      <c r="AW8" s="60" t="str">
        <f t="shared" ref="AW8:AW9" si="59">IF(AND(DATE($A$3,AW$5,1)&gt;=$D8,DATE($A$3,AW$5,1)&lt;$E8),IF(AO8="","",IF(AO8=1.5,IF(DATE($A$3,AW$5,1)&gt;EDATE($B8,18),1,AO8),AO8)), "")</f>
        <v/>
      </c>
      <c r="AX8" s="60" t="str">
        <f t="shared" ref="AX8:AX9" si="60">IF(AND(DATE($A$3,AX$5,1)&gt;=$D8,DATE($A$3,AX$5,1)&lt;$E8),IF(AP8="","",IF(AP8=1.5,IF(DATE($A$3,AX$5,1)&gt;EDATE($B8,18),1,AP8),AP8)), "")</f>
        <v/>
      </c>
      <c r="AY8" s="60" t="str">
        <f t="shared" ref="AY8:AY9" si="61">IF(AND(DATE($A$3,AY$5,1)&gt;=$D8,DATE($A$3,AY$5,1)&lt;$E8),IF(AQ8="","",IF(AQ8=1.5,IF(DATE($A$3,AY$5,1)&gt;EDATE($B8,18),1,AQ8),AQ8)), "")</f>
        <v/>
      </c>
      <c r="AZ8" s="60" t="str">
        <f t="shared" ref="AZ8:AZ9" si="62">IF(AND(DATE($A$3,AZ$5,1)&gt;=$D8,DATE($A$3,AZ$5,1)&lt;$E8),IF(AR8="","",IF(AR8=1.5,IF(DATE($A$3,AZ$5,1)&gt;EDATE($B8,18),1,AR8),AR8)), "")</f>
        <v/>
      </c>
      <c r="BA8" s="61" t="str">
        <f t="shared" ref="BA8:BA9" si="63">IF(AS8="","",AS8)</f>
        <v/>
      </c>
      <c r="BB8" s="62"/>
      <c r="BC8" s="63"/>
      <c r="BD8" s="54" t="str">
        <f>IF(AND(DATE($A$3,BD$5,1)&gt;=$D8,DATE($A$3,BD$5,1)&lt;$E8),IF(AV8="","",IF(AV8=1.5,IF(DATE($A$3,BD$5,1)&gt;EDATE($B8,18),1,AV8),AV8)), "")</f>
        <v/>
      </c>
      <c r="BE8" s="55" t="str">
        <f t="shared" ref="BE8:BE9" si="64">IF(AND(DATE($A$3,BE$5,1)&gt;=$D8,DATE($A$3,BE$5,1)&lt;$E8),IF(AW8="","",IF(AW8=1.5,IF(DATE($A$3,BE$5,1)&gt;EDATE($B8,18),1,AW8),AW8)), "")</f>
        <v/>
      </c>
      <c r="BF8" s="55" t="str">
        <f t="shared" ref="BF8:BF9" si="65">IF(AND(DATE($A$3,BF$5,1)&gt;=$D8,DATE($A$3,BF$5,1)&lt;$E8),IF(AX8="","",IF(AX8=1.5,IF(DATE($A$3,BF$5,1)&gt;EDATE($B8,18),1,AX8),AX8)), "")</f>
        <v/>
      </c>
      <c r="BG8" s="55" t="str">
        <f t="shared" ref="BG8:BG9" si="66">IF(AND(DATE($A$3,BG$5,1)&gt;=$D8,DATE($A$3,BG$5,1)&lt;$E8),IF(AY8="","",IF(AY8=1.5,IF(DATE($A$3,BG$5,1)&gt;EDATE($B8,18),1,AY8),AY8)), "")</f>
        <v/>
      </c>
      <c r="BH8" s="55" t="str">
        <f t="shared" ref="BH8:BH9" si="67">IF(AND(DATE($A$3,BH$5,1)&gt;=$D8,DATE($A$3,BH$5,1)&lt;$E8),IF(AZ8="","",IF(AZ8=1.5,IF(DATE($A$3,BH$5,1)&gt;EDATE($B8,18),1,AZ8),AZ8)), "")</f>
        <v/>
      </c>
      <c r="BI8" s="56" t="str">
        <f t="shared" ref="BI8:BI9" si="68">IF(BA8="","",BA8)</f>
        <v/>
      </c>
      <c r="BJ8" s="57"/>
      <c r="BK8" s="58"/>
      <c r="BL8" s="59" t="str">
        <f>IF(AND(DATE($A$3,BL$5,1)&gt;=$D8,DATE($A$3,BL$5,1)&lt;$E8),IF(BD8="","",IF(BD8=1.5,IF(DATE($A$3,BL$5,1)&gt;EDATE($B8,18),1,BD8),BD8)), "")</f>
        <v/>
      </c>
      <c r="BM8" s="60" t="str">
        <f t="shared" ref="BM8:BM9" si="69">IF(AND(DATE($A$3,BM$5,1)&gt;=$D8,DATE($A$3,BM$5,1)&lt;$E8),IF(BE8="","",IF(BE8=1.5,IF(DATE($A$3,BM$5,1)&gt;EDATE($B8,18),1,BE8),BE8)), "")</f>
        <v/>
      </c>
      <c r="BN8" s="60" t="str">
        <f t="shared" ref="BN8:BN9" si="70">IF(AND(DATE($A$3,BN$5,1)&gt;=$D8,DATE($A$3,BN$5,1)&lt;$E8),IF(BF8="","",IF(BF8=1.5,IF(DATE($A$3,BN$5,1)&gt;EDATE($B8,18),1,BF8),BF8)), "")</f>
        <v/>
      </c>
      <c r="BO8" s="60" t="str">
        <f t="shared" ref="BO8:BO9" si="71">IF(AND(DATE($A$3,BO$5,1)&gt;=$D8,DATE($A$3,BO$5,1)&lt;$E8),IF(BG8="","",IF(BG8=1.5,IF(DATE($A$3,BO$5,1)&gt;EDATE($B8,18),1,BG8),BG8)), "")</f>
        <v/>
      </c>
      <c r="BP8" s="60" t="str">
        <f t="shared" ref="BP8:BP9" si="72">IF(AND(DATE($A$3,BP$5,1)&gt;=$D8,DATE($A$3,BP$5,1)&lt;$E8),IF(BH8="","",IF(BH8=1.5,IF(DATE($A$3,BP$5,1)&gt;EDATE($B8,18),1,BH8),BH8)), "")</f>
        <v/>
      </c>
      <c r="BQ8" s="61" t="str">
        <f t="shared" ref="BQ8:BQ9" si="73">IF(BI8="","",BI8)</f>
        <v/>
      </c>
      <c r="BR8" s="62"/>
      <c r="BS8" s="63"/>
      <c r="BT8" s="54" t="str">
        <f>IF(AND(DATE($A$3,BT$5,1)&gt;=$D8,DATE($A$3,BT$5,1)&lt;$E8),IF(BL8="","",IF(BL8=1.5,IF(DATE($A$3,BT$5,1)&gt;EDATE($B8,18),1,BL8),BL8)), "")</f>
        <v/>
      </c>
      <c r="BU8" s="55" t="str">
        <f t="shared" ref="BU8:BU9" si="74">IF(AND(DATE($A$3,BU$5,1)&gt;=$D8,DATE($A$3,BU$5,1)&lt;$E8),IF(BM8="","",IF(BM8=1.5,IF(DATE($A$3,BU$5,1)&gt;EDATE($B8,18),1,BM8),BM8)), "")</f>
        <v/>
      </c>
      <c r="BV8" s="55" t="str">
        <f t="shared" ref="BV8:BV9" si="75">IF(AND(DATE($A$3,BV$5,1)&gt;=$D8,DATE($A$3,BV$5,1)&lt;$E8),IF(BN8="","",IF(BN8=1.5,IF(DATE($A$3,BV$5,1)&gt;EDATE($B8,18),1,BN8),BN8)), "")</f>
        <v/>
      </c>
      <c r="BW8" s="55" t="str">
        <f t="shared" ref="BW8:BW9" si="76">IF(AND(DATE($A$3,BW$5,1)&gt;=$D8,DATE($A$3,BW$5,1)&lt;$E8),IF(BO8="","",IF(BO8=1.5,IF(DATE($A$3,BW$5,1)&gt;EDATE($B8,18),1,BO8),BO8)), "")</f>
        <v/>
      </c>
      <c r="BX8" s="55" t="str">
        <f t="shared" ref="BX8:BX9" si="77">IF(AND(DATE($A$3,BX$5,1)&gt;=$D8,DATE($A$3,BX$5,1)&lt;$E8),IF(BP8="","",IF(BP8=1.5,IF(DATE($A$3,BX$5,1)&gt;EDATE($B8,18),1,BP8),BP8)), "")</f>
        <v/>
      </c>
      <c r="BY8" s="56" t="str">
        <f t="shared" ref="BY8:BY9" si="78">IF(BQ8="","",BQ8)</f>
        <v/>
      </c>
      <c r="BZ8" s="57"/>
      <c r="CA8" s="58"/>
      <c r="CB8" s="54" t="str">
        <f>IF(AND(DATE($A$3,CB$5,1)&gt;=$D8,DATE($A$3,CB$5,1)&lt;$E8),IF(BT8="","",IF(BT8=1.5,IF(DATE($A$3,CB$5,1)&gt;EDATE($B8,18),1,BT8),BT8)), "")</f>
        <v/>
      </c>
      <c r="CC8" s="55" t="str">
        <f t="shared" ref="CC8:CC9" si="79">IF(AND(DATE($A$3,CC$5,1)&gt;=$D8,DATE($A$3,CC$5,1)&lt;$E8),IF(BU8="","",IF(BU8=1.5,IF(DATE($A$3,CC$5,1)&gt;EDATE($B8,18),1,BU8),BU8)), "")</f>
        <v/>
      </c>
      <c r="CD8" s="55" t="str">
        <f t="shared" ref="CD8:CD9" si="80">IF(AND(DATE($A$3,CD$5,1)&gt;=$D8,DATE($A$3,CD$5,1)&lt;$E8),IF(BV8="","",IF(BV8=1.5,IF(DATE($A$3,CD$5,1)&gt;EDATE($B8,18),1,BV8),BV8)), "")</f>
        <v/>
      </c>
      <c r="CE8" s="55" t="str">
        <f t="shared" ref="CE8:CE9" si="81">IF(AND(DATE($A$3,CE$5,1)&gt;=$D8,DATE($A$3,CE$5,1)&lt;$E8),IF(BW8="","",IF(BW8=1.5,IF(DATE($A$3,CE$5,1)&gt;EDATE($B8,18),1,BW8),BW8)), "")</f>
        <v/>
      </c>
      <c r="CF8" s="55" t="str">
        <f t="shared" ref="CF8:CF9" si="82">IF(AND(DATE($A$3,CF$5,1)&gt;=$D8,DATE($A$3,CF$5,1)&lt;$E8),IF(BX8="","",IF(BX8=1.5,IF(DATE($A$3,CF$5,1)&gt;EDATE($B8,18),1,BX8),BX8)), "")</f>
        <v/>
      </c>
      <c r="CG8" s="55" t="str">
        <f t="shared" ref="CG8:CH9" si="83">IF(BY8="","",BY8)</f>
        <v/>
      </c>
      <c r="CH8" s="56" t="str">
        <f t="shared" si="83"/>
        <v/>
      </c>
      <c r="CI8" s="58"/>
      <c r="CJ8" s="59" t="str">
        <f>IF(AND(DATE($A$3,CJ$5,1)&gt;=$D8,DATE($A$3,CJ$5,1)&lt;$E8),IF(CB8="","",IF(CB8=1.5,IF(DATE($A$3,CJ$5,1)&gt;EDATE($B8,18),1,CB8),CB8)), "")</f>
        <v/>
      </c>
      <c r="CK8" s="60" t="str">
        <f t="shared" ref="CK8:CK9" si="84">IF(AND(DATE($A$3,CK$5,1)&gt;=$D8,DATE($A$3,CK$5,1)&lt;$E8),IF(CC8="","",IF(CC8=1.5,IF(DATE($A$3,CK$5,1)&gt;EDATE($B8,18),1,CC8),CC8)), "")</f>
        <v/>
      </c>
      <c r="CL8" s="60" t="str">
        <f t="shared" ref="CL8:CL9" si="85">IF(AND(DATE($A$3,CL$5,1)&gt;=$D8,DATE($A$3,CL$5,1)&lt;$E8),IF(CD8="","",IF(CD8=1.5,IF(DATE($A$3,CL$5,1)&gt;EDATE($B8,18),1,CD8),CD8)), "")</f>
        <v/>
      </c>
      <c r="CM8" s="60" t="str">
        <f t="shared" ref="CM8:CM9" si="86">IF(AND(DATE($A$3,CM$5,1)&gt;=$D8,DATE($A$3,CM$5,1)&lt;$E8),IF(CE8="","",IF(CE8=1.5,IF(DATE($A$3,CM$5,1)&gt;EDATE($B8,18),1,CE8),CE8)), "")</f>
        <v/>
      </c>
      <c r="CN8" s="60" t="str">
        <f t="shared" ref="CN8:CN9" si="87">IF(AND(DATE($A$3,CN$5,1)&gt;=$D8,DATE($A$3,CN$5,1)&lt;$E8),IF(CF8="","",IF(CF8=1.5,IF(DATE($A$3,CN$5,1)&gt;EDATE($B8,18),1,CF8),CF8)), "")</f>
        <v/>
      </c>
      <c r="CO8" s="61" t="str">
        <f t="shared" ref="CO8:CO9" si="88">IF(CG8="","",CG8)</f>
        <v/>
      </c>
      <c r="CP8" s="62"/>
      <c r="CQ8" s="63"/>
      <c r="CR8" s="54" t="str">
        <f>IF(AND(DATE($A$3,CR$5,1)&gt;=$D8,DATE($A$3,CR$5,1)&lt;$E8),IF(CJ8="","",IF(CJ8=1.5,IF(DATE($A$3,CR$5,1)&gt;EDATE($B8,18),1,CJ8),CJ8)), "")</f>
        <v/>
      </c>
      <c r="CS8" s="55" t="str">
        <f t="shared" ref="CS8:CS9" si="89">IF(AND(DATE($A$3,CS$5,1)&gt;=$D8,DATE($A$3,CS$5,1)&lt;$E8),IF(CK8="","",IF(CK8=1.5,IF(DATE($A$3,CS$5,1)&gt;EDATE($B8,18),1,CK8),CK8)), "")</f>
        <v/>
      </c>
      <c r="CT8" s="55" t="str">
        <f t="shared" ref="CT8:CT9" si="90">IF(AND(DATE($A$3,CT$5,1)&gt;=$D8,DATE($A$3,CT$5,1)&lt;$E8),IF(CL8="","",IF(CL8=1.5,IF(DATE($A$3,CT$5,1)&gt;EDATE($B8,18),1,CL8),CL8)), "")</f>
        <v/>
      </c>
      <c r="CU8" s="55" t="str">
        <f t="shared" ref="CU8:CU9" si="91">IF(AND(DATE($A$3,CU$5,1)&gt;=$D8,DATE($A$3,CU$5,1)&lt;$E8),IF(CM8="","",IF(CM8=1.5,IF(DATE($A$3,CU$5,1)&gt;EDATE($B8,18),1,CM8),CM8)), "")</f>
        <v/>
      </c>
      <c r="CV8" s="55" t="str">
        <f t="shared" ref="CV8:CV9" si="92">IF(AND(DATE($A$3,CV$5,1)&gt;=$D8,DATE($A$3,CV$5,1)&lt;$E8),IF(CN8="","",IF(CN8=1.5,IF(DATE($A$3,CV$5,1)&gt;EDATE($B8,18),1,CN8),CN8)), "")</f>
        <v/>
      </c>
      <c r="CW8" s="56" t="str">
        <f t="shared" ref="CW8:CW9" si="93">IF(CO8="","",CO8)</f>
        <v/>
      </c>
      <c r="CX8" s="57"/>
      <c r="CY8" s="58"/>
      <c r="CZ8" s="59" t="str">
        <f>IF(AND(DATE($A$3,CZ$5,1)&gt;=$D8,DATE($A$3,CZ$5,1)&lt;$E8),IF(CR8="","",IF(CR8=1.5,IF(DATE($A$3,CZ$5,1)&gt;EDATE($B8,18),1,CR8),CR8)), "")</f>
        <v/>
      </c>
      <c r="DA8" s="60" t="str">
        <f t="shared" ref="DA8:DA9" si="94">IF(AND(DATE($A$3,DA$5,1)&gt;=$D8,DATE($A$3,DA$5,1)&lt;$E8),IF(CS8="","",IF(CS8=1.5,IF(DATE($A$3,DA$5,1)&gt;EDATE($B8,18),1,CS8),CS8)), "")</f>
        <v/>
      </c>
      <c r="DB8" s="60" t="str">
        <f t="shared" ref="DB8:DB9" si="95">IF(AND(DATE($A$3,DB$5,1)&gt;=$D8,DATE($A$3,DB$5,1)&lt;$E8),IF(CT8="","",IF(CT8=1.5,IF(DATE($A$3,DB$5,1)&gt;EDATE($B8,18),1,CT8),CT8)), "")</f>
        <v/>
      </c>
      <c r="DC8" s="60" t="str">
        <f t="shared" ref="DC8:DC9" si="96">IF(AND(DATE($A$3,DC$5,1)&gt;=$D8,DATE($A$3,DC$5,1)&lt;$E8),IF(CU8="","",IF(CU8=1.5,IF(DATE($A$3,DC$5,1)&gt;EDATE($B8,18),1,CU8),CU8)), "")</f>
        <v/>
      </c>
      <c r="DD8" s="60" t="str">
        <f t="shared" ref="DD8:DD9" si="97">IF(AND(DATE($A$3,DD$5,1)&gt;=$D8,DATE($A$3,DD$5,1)&lt;$E8),IF(CV8="","",IF(CV8=1.5,IF(DATE($A$3,DD$5,1)&gt;EDATE($B8,18),1,CV8),CV8)), "")</f>
        <v/>
      </c>
      <c r="DE8" s="61" t="str">
        <f t="shared" ref="DE8:DE9" si="98">IF(CW8="","",CW8)</f>
        <v/>
      </c>
      <c r="DF8" s="62"/>
      <c r="DG8" s="63"/>
      <c r="DH8" s="54" t="str">
        <f>IF(AND(DATE($A$3,DH$5,1)&gt;=$D8,DATE($A$3,DH$5,1)&lt;$E8),IF(CZ8="","",IF(CZ8=1.5,IF(DATE($A$3,DH$5,1)&gt;EDATE($B8,18),1,CZ8),CZ8)), "")</f>
        <v/>
      </c>
      <c r="DI8" s="55" t="str">
        <f t="shared" ref="DI8:DI9" si="99">IF(AND(DATE($A$3,DI$5,1)&gt;=$D8,DATE($A$3,DI$5,1)&lt;$E8),IF(DA8="","",IF(DA8=1.5,IF(DATE($A$3,DI$5,1)&gt;EDATE($B8,18),1,DA8),DA8)), "")</f>
        <v/>
      </c>
      <c r="DJ8" s="55" t="str">
        <f t="shared" ref="DJ8:DJ9" si="100">IF(AND(DATE($A$3,DJ$5,1)&gt;=$D8,DATE($A$3,DJ$5,1)&lt;$E8),IF(DB8="","",IF(DB8=1.5,IF(DATE($A$3,DJ$5,1)&gt;EDATE($B8,18),1,DB8),DB8)), "")</f>
        <v/>
      </c>
      <c r="DK8" s="55" t="str">
        <f t="shared" ref="DK8:DK9" si="101">IF(AND(DATE($A$3,DK$5,1)&gt;=$D8,DATE($A$3,DK$5,1)&lt;$E8),IF(DC8="","",IF(DC8=1.5,IF(DATE($A$3,DK$5,1)&gt;EDATE($B8,18),1,DC8),DC8)), "")</f>
        <v/>
      </c>
      <c r="DL8" s="55" t="str">
        <f t="shared" ref="DL8:DL9" si="102">IF(AND(DATE($A$3,DL$5,1)&gt;=$D8,DATE($A$3,DL$5,1)&lt;$E8),IF(DD8="","",IF(DD8=1.5,IF(DATE($A$3,DL$5,1)&gt;EDATE($B8,18),1,DD8),DD8)), "")</f>
        <v/>
      </c>
      <c r="DM8" s="56" t="str">
        <f t="shared" ref="DM8:DM9" si="103">IF(DE8="","",DE8)</f>
        <v/>
      </c>
      <c r="DN8" s="57"/>
      <c r="DO8" s="58"/>
    </row>
    <row r="9" spans="1:119" x14ac:dyDescent="0.25">
      <c r="A9" s="50"/>
      <c r="B9" s="51"/>
      <c r="C9" s="31" t="str">
        <f ca="1">IF(B9&lt;&gt;"",DATEDIF(B9,TODAY(),"Y")&amp;" J, " &amp; DATEDIF(B9,TODAY(),"YM")&amp; " Mt","")</f>
        <v/>
      </c>
      <c r="D9" s="192"/>
      <c r="E9" s="192"/>
      <c r="F9" s="52"/>
      <c r="G9" s="53"/>
      <c r="H9" s="54"/>
      <c r="I9" s="55"/>
      <c r="J9" s="55"/>
      <c r="K9" s="55"/>
      <c r="L9" s="55"/>
      <c r="M9" s="56"/>
      <c r="N9" s="57"/>
      <c r="O9" s="58"/>
      <c r="P9" s="59" t="str">
        <f>IF(AND(DATE($A$3,P$5,1)&gt;=$D9,DATE($A$3,P$5,1)&lt;$E9),IF(H9="","",IF(H9=1.5,IF(DATE($A$3,P$5,1)&gt;EDATE($B9,18),1,H9),H9)), "")</f>
        <v/>
      </c>
      <c r="Q9" s="60" t="str">
        <f t="shared" ref="Q9" si="104">IF(AND(DATE($A$3,Q$5,1)&gt;=$D9,DATE($A$3,Q$5,1)&lt;$E9),IF(I9="","",IF(I9=1.5,IF(DATE($A$3,Q$5,1)&gt;EDATE($B9,18),1,I9),I9)), "")</f>
        <v/>
      </c>
      <c r="R9" s="60" t="str">
        <f t="shared" ref="R9" si="105">IF(AND(DATE($A$3,R$5,1)&gt;=$D9,DATE($A$3,R$5,1)&lt;$E9),IF(J9="","",IF(J9=1.5,IF(DATE($A$3,R$5,1)&gt;EDATE($B9,18),1,J9),J9)), "")</f>
        <v/>
      </c>
      <c r="S9" s="60" t="str">
        <f t="shared" ref="S9" si="106">IF(AND(DATE($A$3,S$5,1)&gt;=$D9,DATE($A$3,S$5,1)&lt;$E9),IF(K9="","",IF(K9=1.5,IF(DATE($A$3,S$5,1)&gt;EDATE($B9,18),1,K9),K9)), "")</f>
        <v/>
      </c>
      <c r="T9" s="60" t="str">
        <f t="shared" ref="T9" si="107">IF(AND(DATE($A$3,T$5,1)&gt;=$D9,DATE($A$3,T$5,1)&lt;$E9),IF(L9="","",IF(L9=1.5,IF(DATE($A$3,T$5,1)&gt;EDATE($B9,18),1,L9),L9)), "")</f>
        <v/>
      </c>
      <c r="U9" s="61" t="str">
        <f t="shared" si="43"/>
        <v/>
      </c>
      <c r="V9" s="139"/>
      <c r="W9" s="63"/>
      <c r="X9" s="54" t="str">
        <f>IF(AND(DATE($A$3,X$5,1)&gt;=$D9,DATE($A$3,X$5,1)&lt;$E9),IF(P9="","",IF(P9=1.5,IF(DATE($A$3,X$5,1)&gt;EDATE($B9,18),1,P9),P9)), "")</f>
        <v/>
      </c>
      <c r="Y9" s="55" t="str">
        <f t="shared" si="44"/>
        <v/>
      </c>
      <c r="Z9" s="55" t="str">
        <f t="shared" si="45"/>
        <v/>
      </c>
      <c r="AA9" s="55" t="str">
        <f t="shared" si="46"/>
        <v/>
      </c>
      <c r="AB9" s="55" t="str">
        <f t="shared" si="47"/>
        <v/>
      </c>
      <c r="AC9" s="56" t="str">
        <f t="shared" si="48"/>
        <v/>
      </c>
      <c r="AD9" s="140"/>
      <c r="AE9" s="58"/>
      <c r="AF9" s="59" t="str">
        <f>IF(AND(DATE($A$3,AF$5,1)&gt;=$D9,DATE($A$3,AF$5,1)&lt;$E9),IF(X9="","",IF(X9=1.5,IF(DATE($A$3,AF$5,1)&gt;EDATE($B9,18),1,X9),X9)), "")</f>
        <v/>
      </c>
      <c r="AG9" s="60" t="str">
        <f t="shared" si="49"/>
        <v/>
      </c>
      <c r="AH9" s="60" t="str">
        <f t="shared" si="50"/>
        <v/>
      </c>
      <c r="AI9" s="60" t="str">
        <f t="shared" si="51"/>
        <v/>
      </c>
      <c r="AJ9" s="60" t="str">
        <f t="shared" si="52"/>
        <v/>
      </c>
      <c r="AK9" s="61" t="str">
        <f t="shared" si="53"/>
        <v/>
      </c>
      <c r="AL9" s="139"/>
      <c r="AM9" s="63"/>
      <c r="AN9" s="54" t="str">
        <f>IF(AND(DATE($A$3,AN$5,1)&gt;=$D9,DATE($A$3,AN$5,1)&lt;$E9),IF(AF9="","",IF(AF9=1.5,IF(DATE($A$3,AN$5,1)&gt;EDATE($B9,18),1,AF9),AF9)), "")</f>
        <v/>
      </c>
      <c r="AO9" s="55" t="str">
        <f t="shared" si="54"/>
        <v/>
      </c>
      <c r="AP9" s="55" t="str">
        <f t="shared" si="55"/>
        <v/>
      </c>
      <c r="AQ9" s="55" t="str">
        <f t="shared" si="56"/>
        <v/>
      </c>
      <c r="AR9" s="55" t="str">
        <f t="shared" si="57"/>
        <v/>
      </c>
      <c r="AS9" s="56" t="str">
        <f t="shared" si="58"/>
        <v/>
      </c>
      <c r="AT9" s="140"/>
      <c r="AU9" s="58"/>
      <c r="AV9" s="59" t="str">
        <f>IF(AND(DATE($A$3,AV$5,1)&gt;=$D9,DATE($A$3,AV$5,1)&lt;$E9),IF(AN9="","",IF(AN9=1.5,IF(DATE($A$3,AV$5,1)&gt;EDATE($B9,18),1,AN9),AN9)), "")</f>
        <v/>
      </c>
      <c r="AW9" s="60" t="str">
        <f t="shared" si="59"/>
        <v/>
      </c>
      <c r="AX9" s="60" t="str">
        <f t="shared" si="60"/>
        <v/>
      </c>
      <c r="AY9" s="60" t="str">
        <f t="shared" si="61"/>
        <v/>
      </c>
      <c r="AZ9" s="60" t="str">
        <f t="shared" si="62"/>
        <v/>
      </c>
      <c r="BA9" s="61" t="str">
        <f t="shared" si="63"/>
        <v/>
      </c>
      <c r="BB9" s="139"/>
      <c r="BC9" s="63"/>
      <c r="BD9" s="54" t="str">
        <f>IF(AND(DATE($A$3,BD$5,1)&gt;=$D9,DATE($A$3,BD$5,1)&lt;$E9),IF(AV9="","",IF(AV9=1.5,IF(DATE($A$3,BD$5,1)&gt;EDATE($B9,18),1,AV9),AV9)), "")</f>
        <v/>
      </c>
      <c r="BE9" s="55" t="str">
        <f t="shared" si="64"/>
        <v/>
      </c>
      <c r="BF9" s="55" t="str">
        <f t="shared" si="65"/>
        <v/>
      </c>
      <c r="BG9" s="55" t="str">
        <f t="shared" si="66"/>
        <v/>
      </c>
      <c r="BH9" s="55" t="str">
        <f t="shared" si="67"/>
        <v/>
      </c>
      <c r="BI9" s="56" t="str">
        <f t="shared" si="68"/>
        <v/>
      </c>
      <c r="BJ9" s="140"/>
      <c r="BK9" s="58"/>
      <c r="BL9" s="59" t="str">
        <f>IF(AND(DATE($A$3,BL$5,1)&gt;=$D9,DATE($A$3,BL$5,1)&lt;$E9),IF(BD9="","",IF(BD9=1.5,IF(DATE($A$3,BL$5,1)&gt;EDATE($B9,18),1,BD9),BD9)), "")</f>
        <v/>
      </c>
      <c r="BM9" s="60" t="str">
        <f t="shared" si="69"/>
        <v/>
      </c>
      <c r="BN9" s="60" t="str">
        <f t="shared" si="70"/>
        <v/>
      </c>
      <c r="BO9" s="60" t="str">
        <f t="shared" si="71"/>
        <v/>
      </c>
      <c r="BP9" s="60" t="str">
        <f t="shared" si="72"/>
        <v/>
      </c>
      <c r="BQ9" s="61" t="str">
        <f t="shared" si="73"/>
        <v/>
      </c>
      <c r="BR9" s="139"/>
      <c r="BS9" s="63"/>
      <c r="BT9" s="54" t="str">
        <f>IF(AND(DATE($A$3,BT$5,1)&gt;=$D9,DATE($A$3,BT$5,1)&lt;$E9),IF(BL9="","",IF(BL9=1.5,IF(DATE($A$3,BT$5,1)&gt;EDATE($B9,18),1,BL9),BL9)), "")</f>
        <v/>
      </c>
      <c r="BU9" s="55" t="str">
        <f t="shared" si="74"/>
        <v/>
      </c>
      <c r="BV9" s="55" t="str">
        <f t="shared" si="75"/>
        <v/>
      </c>
      <c r="BW9" s="55" t="str">
        <f t="shared" si="76"/>
        <v/>
      </c>
      <c r="BX9" s="55" t="str">
        <f t="shared" si="77"/>
        <v/>
      </c>
      <c r="BY9" s="56" t="str">
        <f t="shared" si="78"/>
        <v/>
      </c>
      <c r="BZ9" s="140"/>
      <c r="CA9" s="58"/>
      <c r="CB9" s="54" t="str">
        <f>IF(AND(DATE($A$3,CB$5,1)&gt;=$D9,DATE($A$3,CB$5,1)&lt;$E9),IF(BT9="","",IF(BT9=1.5,IF(DATE($A$3,CB$5,1)&gt;EDATE($B9,18),1,BT9),BT9)), "")</f>
        <v/>
      </c>
      <c r="CC9" s="55" t="str">
        <f t="shared" si="79"/>
        <v/>
      </c>
      <c r="CD9" s="55" t="str">
        <f t="shared" si="80"/>
        <v/>
      </c>
      <c r="CE9" s="55" t="str">
        <f t="shared" si="81"/>
        <v/>
      </c>
      <c r="CF9" s="55" t="str">
        <f t="shared" si="82"/>
        <v/>
      </c>
      <c r="CG9" s="55" t="str">
        <f t="shared" si="83"/>
        <v/>
      </c>
      <c r="CH9" s="56" t="str">
        <f t="shared" si="83"/>
        <v/>
      </c>
      <c r="CI9" s="58"/>
      <c r="CJ9" s="59" t="str">
        <f>IF(AND(DATE($A$3,CJ$5,1)&gt;=$D9,DATE($A$3,CJ$5,1)&lt;$E9),IF(CB9="","",IF(CB9=1.5,IF(DATE($A$3,CJ$5,1)&gt;EDATE($B9,18),1,CB9),CB9)), "")</f>
        <v/>
      </c>
      <c r="CK9" s="60" t="str">
        <f t="shared" si="84"/>
        <v/>
      </c>
      <c r="CL9" s="60" t="str">
        <f t="shared" si="85"/>
        <v/>
      </c>
      <c r="CM9" s="60" t="str">
        <f t="shared" si="86"/>
        <v/>
      </c>
      <c r="CN9" s="60" t="str">
        <f t="shared" si="87"/>
        <v/>
      </c>
      <c r="CO9" s="61" t="str">
        <f t="shared" si="88"/>
        <v/>
      </c>
      <c r="CP9" s="139"/>
      <c r="CQ9" s="63"/>
      <c r="CR9" s="54" t="str">
        <f>IF(AND(DATE($A$3,CR$5,1)&gt;=$D9,DATE($A$3,CR$5,1)&lt;$E9),IF(CJ9="","",IF(CJ9=1.5,IF(DATE($A$3,CR$5,1)&gt;EDATE($B9,18),1,CJ9),CJ9)), "")</f>
        <v/>
      </c>
      <c r="CS9" s="55" t="str">
        <f t="shared" si="89"/>
        <v/>
      </c>
      <c r="CT9" s="55" t="str">
        <f t="shared" si="90"/>
        <v/>
      </c>
      <c r="CU9" s="55" t="str">
        <f t="shared" si="91"/>
        <v/>
      </c>
      <c r="CV9" s="55" t="str">
        <f t="shared" si="92"/>
        <v/>
      </c>
      <c r="CW9" s="56" t="str">
        <f t="shared" si="93"/>
        <v/>
      </c>
      <c r="CX9" s="140"/>
      <c r="CY9" s="58"/>
      <c r="CZ9" s="59" t="str">
        <f>IF(AND(DATE($A$3,CZ$5,1)&gt;=$D9,DATE($A$3,CZ$5,1)&lt;$E9),IF(CR9="","",IF(CR9=1.5,IF(DATE($A$3,CZ$5,1)&gt;EDATE($B9,18),1,CR9),CR9)), "")</f>
        <v/>
      </c>
      <c r="DA9" s="60" t="str">
        <f t="shared" si="94"/>
        <v/>
      </c>
      <c r="DB9" s="60" t="str">
        <f t="shared" si="95"/>
        <v/>
      </c>
      <c r="DC9" s="60" t="str">
        <f t="shared" si="96"/>
        <v/>
      </c>
      <c r="DD9" s="60" t="str">
        <f t="shared" si="97"/>
        <v/>
      </c>
      <c r="DE9" s="61" t="str">
        <f t="shared" si="98"/>
        <v/>
      </c>
      <c r="DF9" s="139"/>
      <c r="DG9" s="63"/>
      <c r="DH9" s="54" t="str">
        <f>IF(AND(DATE($A$3,DH$5,1)&gt;=$D9,DATE($A$3,DH$5,1)&lt;$E9),IF(CZ9="","",IF(CZ9=1.5,IF(DATE($A$3,DH$5,1)&gt;EDATE($B9,18),1,CZ9),CZ9)), "")</f>
        <v/>
      </c>
      <c r="DI9" s="55" t="str">
        <f t="shared" si="99"/>
        <v/>
      </c>
      <c r="DJ9" s="55" t="str">
        <f t="shared" si="100"/>
        <v/>
      </c>
      <c r="DK9" s="55" t="str">
        <f t="shared" si="101"/>
        <v/>
      </c>
      <c r="DL9" s="55" t="str">
        <f t="shared" si="102"/>
        <v/>
      </c>
      <c r="DM9" s="56" t="str">
        <f t="shared" si="103"/>
        <v/>
      </c>
      <c r="DN9" s="140"/>
      <c r="DO9" s="58"/>
    </row>
    <row r="10" spans="1:119" x14ac:dyDescent="0.25">
      <c r="A10" s="93"/>
      <c r="B10" s="94"/>
      <c r="C10" s="133"/>
      <c r="D10" s="133"/>
      <c r="E10" s="133"/>
      <c r="F10" s="95" t="s">
        <v>7</v>
      </c>
      <c r="G10" s="96"/>
      <c r="H10" s="97"/>
      <c r="I10" s="98"/>
      <c r="J10" s="98"/>
      <c r="K10" s="99"/>
      <c r="L10" s="98"/>
      <c r="M10" s="100"/>
      <c r="N10" s="101"/>
      <c r="O10" s="102"/>
      <c r="P10" s="97"/>
      <c r="Q10" s="98"/>
      <c r="R10" s="98"/>
      <c r="S10" s="99"/>
      <c r="T10" s="98"/>
      <c r="U10" s="100"/>
      <c r="V10" s="103"/>
      <c r="W10" s="104"/>
      <c r="X10" s="97"/>
      <c r="Y10" s="98"/>
      <c r="Z10" s="98"/>
      <c r="AA10" s="99"/>
      <c r="AB10" s="98"/>
      <c r="AC10" s="100"/>
      <c r="AD10" s="103"/>
      <c r="AE10" s="102"/>
      <c r="AF10" s="97"/>
      <c r="AG10" s="98"/>
      <c r="AH10" s="98"/>
      <c r="AI10" s="99"/>
      <c r="AJ10" s="98"/>
      <c r="AK10" s="100"/>
      <c r="AL10" s="103"/>
      <c r="AM10" s="104"/>
      <c r="AN10" s="97"/>
      <c r="AO10" s="98"/>
      <c r="AP10" s="98"/>
      <c r="AQ10" s="99"/>
      <c r="AR10" s="98"/>
      <c r="AS10" s="100"/>
      <c r="AT10" s="103"/>
      <c r="AU10" s="102"/>
      <c r="AV10" s="97"/>
      <c r="AW10" s="98"/>
      <c r="AX10" s="98"/>
      <c r="AY10" s="99"/>
      <c r="AZ10" s="98"/>
      <c r="BA10" s="100"/>
      <c r="BB10" s="103"/>
      <c r="BC10" s="104"/>
      <c r="BD10" s="97"/>
      <c r="BE10" s="98"/>
      <c r="BF10" s="98"/>
      <c r="BG10" s="99"/>
      <c r="BH10" s="98"/>
      <c r="BI10" s="100"/>
      <c r="BJ10" s="103"/>
      <c r="BK10" s="102"/>
      <c r="BL10" s="97"/>
      <c r="BM10" s="98"/>
      <c r="BN10" s="98"/>
      <c r="BO10" s="99"/>
      <c r="BP10" s="98"/>
      <c r="BQ10" s="100"/>
      <c r="BR10" s="103"/>
      <c r="BS10" s="104"/>
      <c r="BT10" s="97"/>
      <c r="BU10" s="98"/>
      <c r="BV10" s="98"/>
      <c r="BW10" s="99"/>
      <c r="BX10" s="98"/>
      <c r="BY10" s="100"/>
      <c r="BZ10" s="103"/>
      <c r="CA10" s="102"/>
      <c r="CB10" s="97"/>
      <c r="CC10" s="98"/>
      <c r="CD10" s="98"/>
      <c r="CE10" s="99"/>
      <c r="CF10" s="98"/>
      <c r="CG10" s="100"/>
      <c r="CH10" s="103"/>
      <c r="CI10" s="102"/>
      <c r="CJ10" s="97"/>
      <c r="CK10" s="98"/>
      <c r="CL10" s="98"/>
      <c r="CM10" s="99"/>
      <c r="CN10" s="98"/>
      <c r="CO10" s="100"/>
      <c r="CP10" s="103"/>
      <c r="CQ10" s="104"/>
      <c r="CR10" s="97"/>
      <c r="CS10" s="98"/>
      <c r="CT10" s="98"/>
      <c r="CU10" s="99"/>
      <c r="CV10" s="98"/>
      <c r="CW10" s="100"/>
      <c r="CX10" s="103"/>
      <c r="CY10" s="102"/>
      <c r="CZ10" s="97"/>
      <c r="DA10" s="98"/>
      <c r="DB10" s="98"/>
      <c r="DC10" s="99"/>
      <c r="DD10" s="98"/>
      <c r="DE10" s="100"/>
      <c r="DF10" s="103"/>
      <c r="DG10" s="104"/>
      <c r="DH10" s="97"/>
      <c r="DI10" s="98"/>
      <c r="DJ10" s="98"/>
      <c r="DK10" s="99"/>
      <c r="DL10" s="98"/>
      <c r="DM10" s="100"/>
      <c r="DN10" s="103"/>
      <c r="DO10" s="102"/>
    </row>
    <row r="11" spans="1:119" ht="13" x14ac:dyDescent="0.3">
      <c r="A11" s="105"/>
      <c r="B11" s="106"/>
      <c r="C11" s="134"/>
      <c r="D11" s="134"/>
      <c r="E11" s="134"/>
      <c r="F11" s="43">
        <f>AVERAGE(M11,U11,AC11,AK11,AS11,BA11,BI11,BQ11,BY11,CO11,CW11,DE11,DM11)</f>
        <v>0</v>
      </c>
      <c r="G11" s="107"/>
      <c r="H11" s="15">
        <f>SUM(H8:H9)</f>
        <v>0</v>
      </c>
      <c r="I11" s="7">
        <f t="shared" ref="I11:L11" si="108">SUM(I8:I9)</f>
        <v>0</v>
      </c>
      <c r="J11" s="7">
        <f t="shared" si="108"/>
        <v>0</v>
      </c>
      <c r="K11" s="7">
        <f t="shared" si="108"/>
        <v>0</v>
      </c>
      <c r="L11" s="7">
        <f t="shared" si="108"/>
        <v>0</v>
      </c>
      <c r="M11" s="40">
        <f>AVERAGE(H11:L11)</f>
        <v>0</v>
      </c>
      <c r="N11" s="108"/>
      <c r="O11" s="45"/>
      <c r="P11" s="46">
        <f>SUM(P8:P9)</f>
        <v>0</v>
      </c>
      <c r="Q11" s="47">
        <f t="shared" ref="Q11:T11" si="109">SUM(Q8:Q9)</f>
        <v>0</v>
      </c>
      <c r="R11" s="48">
        <f t="shared" si="109"/>
        <v>0</v>
      </c>
      <c r="S11" s="47">
        <f t="shared" si="109"/>
        <v>0</v>
      </c>
      <c r="T11" s="47">
        <f t="shared" si="109"/>
        <v>0</v>
      </c>
      <c r="U11" s="33">
        <f>AVERAGE(P11:T11)</f>
        <v>0</v>
      </c>
      <c r="V11" s="109"/>
      <c r="W11" s="49"/>
      <c r="X11" s="15">
        <f>SUM(X8:X9)</f>
        <v>0</v>
      </c>
      <c r="Y11" s="7">
        <f t="shared" ref="Y11:AB11" si="110">SUM(Y8:Y9)</f>
        <v>0</v>
      </c>
      <c r="Z11" s="7">
        <f t="shared" si="110"/>
        <v>0</v>
      </c>
      <c r="AA11" s="7">
        <f t="shared" si="110"/>
        <v>0</v>
      </c>
      <c r="AB11" s="7">
        <f t="shared" si="110"/>
        <v>0</v>
      </c>
      <c r="AC11" s="40">
        <f>AVERAGE(X11:AB11)</f>
        <v>0</v>
      </c>
      <c r="AD11" s="108"/>
      <c r="AE11" s="45"/>
      <c r="AF11" s="46">
        <f>SUM(AF8:AF9)</f>
        <v>0</v>
      </c>
      <c r="AG11" s="47">
        <f t="shared" ref="AG11:AJ11" si="111">SUM(AG8:AG9)</f>
        <v>0</v>
      </c>
      <c r="AH11" s="48">
        <f t="shared" si="111"/>
        <v>0</v>
      </c>
      <c r="AI11" s="47">
        <f t="shared" si="111"/>
        <v>0</v>
      </c>
      <c r="AJ11" s="47">
        <f t="shared" si="111"/>
        <v>0</v>
      </c>
      <c r="AK11" s="33">
        <f>AVERAGE(AF11:AJ11)</f>
        <v>0</v>
      </c>
      <c r="AL11" s="109"/>
      <c r="AM11" s="49"/>
      <c r="AN11" s="15">
        <f>SUM(AN8:AN9)</f>
        <v>0</v>
      </c>
      <c r="AO11" s="7">
        <f t="shared" ref="AO11:AR11" si="112">SUM(AO8:AO9)</f>
        <v>0</v>
      </c>
      <c r="AP11" s="7">
        <f t="shared" si="112"/>
        <v>0</v>
      </c>
      <c r="AQ11" s="7">
        <f t="shared" si="112"/>
        <v>0</v>
      </c>
      <c r="AR11" s="7">
        <f t="shared" si="112"/>
        <v>0</v>
      </c>
      <c r="AS11" s="40">
        <f>AVERAGE(AN11:AR11)</f>
        <v>0</v>
      </c>
      <c r="AT11" s="108"/>
      <c r="AU11" s="45"/>
      <c r="AV11" s="46">
        <f>SUM(AV8:AV9)</f>
        <v>0</v>
      </c>
      <c r="AW11" s="47">
        <f t="shared" ref="AW11:AZ11" si="113">SUM(AW8:AW9)</f>
        <v>0</v>
      </c>
      <c r="AX11" s="48">
        <f t="shared" si="113"/>
        <v>0</v>
      </c>
      <c r="AY11" s="47">
        <f t="shared" si="113"/>
        <v>0</v>
      </c>
      <c r="AZ11" s="47">
        <f t="shared" si="113"/>
        <v>0</v>
      </c>
      <c r="BA11" s="33">
        <f>AVERAGE(AV11:AZ11)</f>
        <v>0</v>
      </c>
      <c r="BB11" s="109"/>
      <c r="BC11" s="49"/>
      <c r="BD11" s="15">
        <f>SUM(BD8:BD9)</f>
        <v>0</v>
      </c>
      <c r="BE11" s="7">
        <f t="shared" ref="BE11:BH11" si="114">SUM(BE8:BE9)</f>
        <v>0</v>
      </c>
      <c r="BF11" s="7">
        <f t="shared" si="114"/>
        <v>0</v>
      </c>
      <c r="BG11" s="7">
        <f t="shared" si="114"/>
        <v>0</v>
      </c>
      <c r="BH11" s="7">
        <f t="shared" si="114"/>
        <v>0</v>
      </c>
      <c r="BI11" s="40">
        <f>AVERAGE(BD11:BH11)</f>
        <v>0</v>
      </c>
      <c r="BJ11" s="108"/>
      <c r="BK11" s="45"/>
      <c r="BL11" s="46">
        <f>SUM(BL8:BL9)</f>
        <v>0</v>
      </c>
      <c r="BM11" s="47">
        <f t="shared" ref="BM11:BP11" si="115">SUM(BM8:BM9)</f>
        <v>0</v>
      </c>
      <c r="BN11" s="48">
        <f t="shared" si="115"/>
        <v>0</v>
      </c>
      <c r="BO11" s="47">
        <f t="shared" si="115"/>
        <v>0</v>
      </c>
      <c r="BP11" s="47">
        <f t="shared" si="115"/>
        <v>0</v>
      </c>
      <c r="BQ11" s="33">
        <f>AVERAGE(BL11:BP11)</f>
        <v>0</v>
      </c>
      <c r="BR11" s="109"/>
      <c r="BS11" s="49"/>
      <c r="BT11" s="15">
        <f>SUM(BT8:BT9)</f>
        <v>0</v>
      </c>
      <c r="BU11" s="7">
        <f t="shared" ref="BU11:BX11" si="116">SUM(BU8:BU9)</f>
        <v>0</v>
      </c>
      <c r="BV11" s="7">
        <f t="shared" si="116"/>
        <v>0</v>
      </c>
      <c r="BW11" s="7">
        <f t="shared" si="116"/>
        <v>0</v>
      </c>
      <c r="BX11" s="7">
        <f t="shared" si="116"/>
        <v>0</v>
      </c>
      <c r="BY11" s="40">
        <f>AVERAGE(BT11:BX11)</f>
        <v>0</v>
      </c>
      <c r="BZ11" s="108"/>
      <c r="CA11" s="45"/>
      <c r="CB11" s="15">
        <f>SUM(CB8:CB9)</f>
        <v>0</v>
      </c>
      <c r="CC11" s="7">
        <f t="shared" ref="CC11:CF11" si="117">SUM(CC8:CC9)</f>
        <v>0</v>
      </c>
      <c r="CD11" s="7">
        <f t="shared" si="117"/>
        <v>0</v>
      </c>
      <c r="CE11" s="7">
        <f t="shared" si="117"/>
        <v>0</v>
      </c>
      <c r="CF11" s="7">
        <f t="shared" si="117"/>
        <v>0</v>
      </c>
      <c r="CG11" s="40">
        <f>AVERAGE(CB11:CF11)</f>
        <v>0</v>
      </c>
      <c r="CH11" s="108"/>
      <c r="CI11" s="45"/>
      <c r="CJ11" s="46">
        <f>SUM(CJ8:CJ9)</f>
        <v>0</v>
      </c>
      <c r="CK11" s="47">
        <f t="shared" ref="CK11:CN11" si="118">SUM(CK8:CK9)</f>
        <v>0</v>
      </c>
      <c r="CL11" s="48">
        <f t="shared" si="118"/>
        <v>0</v>
      </c>
      <c r="CM11" s="47">
        <f t="shared" si="118"/>
        <v>0</v>
      </c>
      <c r="CN11" s="47">
        <f t="shared" si="118"/>
        <v>0</v>
      </c>
      <c r="CO11" s="33">
        <f>AVERAGE(CJ11:CN11)</f>
        <v>0</v>
      </c>
      <c r="CP11" s="109"/>
      <c r="CQ11" s="49"/>
      <c r="CR11" s="15">
        <f>SUM(CR8:CR9)</f>
        <v>0</v>
      </c>
      <c r="CS11" s="7">
        <f t="shared" ref="CS11:CV11" si="119">SUM(CS8:CS9)</f>
        <v>0</v>
      </c>
      <c r="CT11" s="7">
        <f t="shared" si="119"/>
        <v>0</v>
      </c>
      <c r="CU11" s="7">
        <f t="shared" si="119"/>
        <v>0</v>
      </c>
      <c r="CV11" s="7">
        <f t="shared" si="119"/>
        <v>0</v>
      </c>
      <c r="CW11" s="40">
        <f>AVERAGE(CR11:CV11)</f>
        <v>0</v>
      </c>
      <c r="CX11" s="108"/>
      <c r="CY11" s="45"/>
      <c r="CZ11" s="46">
        <f>SUM(CZ8:CZ9)</f>
        <v>0</v>
      </c>
      <c r="DA11" s="47">
        <f t="shared" ref="DA11:DD11" si="120">SUM(DA8:DA9)</f>
        <v>0</v>
      </c>
      <c r="DB11" s="48">
        <f t="shared" si="120"/>
        <v>0</v>
      </c>
      <c r="DC11" s="47">
        <f t="shared" si="120"/>
        <v>0</v>
      </c>
      <c r="DD11" s="47">
        <f t="shared" si="120"/>
        <v>0</v>
      </c>
      <c r="DE11" s="33">
        <f>AVERAGE(CZ11:DD11)</f>
        <v>0</v>
      </c>
      <c r="DF11" s="109"/>
      <c r="DG11" s="49"/>
      <c r="DH11" s="15">
        <f>SUM(DH8:DH9)</f>
        <v>0</v>
      </c>
      <c r="DI11" s="7">
        <f t="shared" ref="DI11:DL11" si="121">SUM(DI8:DI9)</f>
        <v>0</v>
      </c>
      <c r="DJ11" s="7">
        <f t="shared" si="121"/>
        <v>0</v>
      </c>
      <c r="DK11" s="7">
        <f t="shared" si="121"/>
        <v>0</v>
      </c>
      <c r="DL11" s="7">
        <f t="shared" si="121"/>
        <v>0</v>
      </c>
      <c r="DM11" s="40">
        <f>AVERAGE(DH11:DL11)</f>
        <v>0</v>
      </c>
      <c r="DN11" s="108"/>
      <c r="DO11" s="110"/>
    </row>
    <row r="12" spans="1:119" ht="13" x14ac:dyDescent="0.3">
      <c r="A12" s="111" t="s">
        <v>10</v>
      </c>
      <c r="B12" s="65"/>
      <c r="C12" s="65"/>
      <c r="D12" s="65"/>
      <c r="E12" s="65"/>
      <c r="F12" s="132"/>
      <c r="G12" s="112"/>
      <c r="H12" s="14">
        <f>$F$12</f>
        <v>0</v>
      </c>
      <c r="I12" s="6">
        <f t="shared" ref="I12:L12" si="122">$F$12</f>
        <v>0</v>
      </c>
      <c r="J12" s="6">
        <f t="shared" si="122"/>
        <v>0</v>
      </c>
      <c r="K12" s="6">
        <f t="shared" si="122"/>
        <v>0</v>
      </c>
      <c r="L12" s="6">
        <f t="shared" si="122"/>
        <v>0</v>
      </c>
      <c r="M12" s="40">
        <f>AVERAGE(H12:L12)</f>
        <v>0</v>
      </c>
      <c r="N12" s="108"/>
      <c r="O12" s="30"/>
      <c r="P12" s="9">
        <f>$F$12</f>
        <v>0</v>
      </c>
      <c r="Q12" s="5">
        <f t="shared" ref="Q12:T12" si="123">$F$12</f>
        <v>0</v>
      </c>
      <c r="R12" s="5">
        <f t="shared" si="123"/>
        <v>0</v>
      </c>
      <c r="S12" s="5">
        <f t="shared" si="123"/>
        <v>0</v>
      </c>
      <c r="T12" s="5">
        <f t="shared" si="123"/>
        <v>0</v>
      </c>
      <c r="U12" s="33">
        <f>AVERAGE(P12:T12)</f>
        <v>0</v>
      </c>
      <c r="V12" s="109"/>
      <c r="W12" s="37"/>
      <c r="X12" s="14">
        <f>$F$12</f>
        <v>0</v>
      </c>
      <c r="Y12" s="6">
        <f t="shared" ref="Y12:AB12" si="124">$F$12</f>
        <v>0</v>
      </c>
      <c r="Z12" s="6">
        <f t="shared" si="124"/>
        <v>0</v>
      </c>
      <c r="AA12" s="6">
        <f t="shared" si="124"/>
        <v>0</v>
      </c>
      <c r="AB12" s="6">
        <f t="shared" si="124"/>
        <v>0</v>
      </c>
      <c r="AC12" s="40">
        <f>AVERAGE(X12:AB12)</f>
        <v>0</v>
      </c>
      <c r="AD12" s="108"/>
      <c r="AE12" s="30"/>
      <c r="AF12" s="9">
        <f>$F$12</f>
        <v>0</v>
      </c>
      <c r="AG12" s="5">
        <f t="shared" ref="AG12:AJ12" si="125">$F$12</f>
        <v>0</v>
      </c>
      <c r="AH12" s="5">
        <f t="shared" si="125"/>
        <v>0</v>
      </c>
      <c r="AI12" s="5">
        <f t="shared" si="125"/>
        <v>0</v>
      </c>
      <c r="AJ12" s="5">
        <f t="shared" si="125"/>
        <v>0</v>
      </c>
      <c r="AK12" s="33">
        <f>AVERAGE(AF12:AJ12)</f>
        <v>0</v>
      </c>
      <c r="AL12" s="109"/>
      <c r="AM12" s="37"/>
      <c r="AN12" s="14">
        <f>$F$12</f>
        <v>0</v>
      </c>
      <c r="AO12" s="6">
        <f t="shared" ref="AO12:AR12" si="126">$F$12</f>
        <v>0</v>
      </c>
      <c r="AP12" s="6">
        <f t="shared" si="126"/>
        <v>0</v>
      </c>
      <c r="AQ12" s="6">
        <f t="shared" si="126"/>
        <v>0</v>
      </c>
      <c r="AR12" s="6">
        <f t="shared" si="126"/>
        <v>0</v>
      </c>
      <c r="AS12" s="40">
        <f>AVERAGE(AN12:AR12)</f>
        <v>0</v>
      </c>
      <c r="AT12" s="108"/>
      <c r="AU12" s="30"/>
      <c r="AV12" s="9">
        <f>$F$12</f>
        <v>0</v>
      </c>
      <c r="AW12" s="5">
        <f t="shared" ref="AW12:AZ12" si="127">$F$12</f>
        <v>0</v>
      </c>
      <c r="AX12" s="5">
        <f t="shared" si="127"/>
        <v>0</v>
      </c>
      <c r="AY12" s="5">
        <f t="shared" si="127"/>
        <v>0</v>
      </c>
      <c r="AZ12" s="5">
        <f t="shared" si="127"/>
        <v>0</v>
      </c>
      <c r="BA12" s="33">
        <f>AVERAGE(AV12:AZ12)</f>
        <v>0</v>
      </c>
      <c r="BB12" s="109"/>
      <c r="BC12" s="37"/>
      <c r="BD12" s="14">
        <f>$F$12</f>
        <v>0</v>
      </c>
      <c r="BE12" s="6">
        <f t="shared" ref="BE12:BH12" si="128">$F$12</f>
        <v>0</v>
      </c>
      <c r="BF12" s="6">
        <f t="shared" si="128"/>
        <v>0</v>
      </c>
      <c r="BG12" s="6">
        <f t="shared" si="128"/>
        <v>0</v>
      </c>
      <c r="BH12" s="6">
        <f t="shared" si="128"/>
        <v>0</v>
      </c>
      <c r="BI12" s="40">
        <f>AVERAGE(BD12:BH12)</f>
        <v>0</v>
      </c>
      <c r="BJ12" s="108"/>
      <c r="BK12" s="30"/>
      <c r="BL12" s="9">
        <f>$F$12</f>
        <v>0</v>
      </c>
      <c r="BM12" s="5">
        <f t="shared" ref="BM12:BP12" si="129">$F$12</f>
        <v>0</v>
      </c>
      <c r="BN12" s="5">
        <f t="shared" si="129"/>
        <v>0</v>
      </c>
      <c r="BO12" s="5">
        <f t="shared" si="129"/>
        <v>0</v>
      </c>
      <c r="BP12" s="5">
        <f t="shared" si="129"/>
        <v>0</v>
      </c>
      <c r="BQ12" s="33">
        <f>AVERAGE(BL12:BP12)</f>
        <v>0</v>
      </c>
      <c r="BR12" s="109"/>
      <c r="BS12" s="37"/>
      <c r="BT12" s="14">
        <f>$F$12</f>
        <v>0</v>
      </c>
      <c r="BU12" s="6">
        <f t="shared" ref="BU12:BX12" si="130">$F$12</f>
        <v>0</v>
      </c>
      <c r="BV12" s="6">
        <f t="shared" si="130"/>
        <v>0</v>
      </c>
      <c r="BW12" s="6">
        <f t="shared" si="130"/>
        <v>0</v>
      </c>
      <c r="BX12" s="6">
        <f t="shared" si="130"/>
        <v>0</v>
      </c>
      <c r="BY12" s="40">
        <f>AVERAGE(BT12:BX12)</f>
        <v>0</v>
      </c>
      <c r="BZ12" s="108"/>
      <c r="CA12" s="30"/>
      <c r="CB12" s="14">
        <f>$F$12</f>
        <v>0</v>
      </c>
      <c r="CC12" s="6">
        <f t="shared" ref="CC12:CF12" si="131">$F$12</f>
        <v>0</v>
      </c>
      <c r="CD12" s="6">
        <f t="shared" si="131"/>
        <v>0</v>
      </c>
      <c r="CE12" s="6">
        <f t="shared" si="131"/>
        <v>0</v>
      </c>
      <c r="CF12" s="6">
        <f t="shared" si="131"/>
        <v>0</v>
      </c>
      <c r="CG12" s="40">
        <f>AVERAGE(CB12:CF12)</f>
        <v>0</v>
      </c>
      <c r="CH12" s="108"/>
      <c r="CI12" s="30"/>
      <c r="CJ12" s="9">
        <f>$F$12</f>
        <v>0</v>
      </c>
      <c r="CK12" s="5">
        <f t="shared" ref="CK12:CN12" si="132">$F$12</f>
        <v>0</v>
      </c>
      <c r="CL12" s="5">
        <f t="shared" si="132"/>
        <v>0</v>
      </c>
      <c r="CM12" s="5">
        <f t="shared" si="132"/>
        <v>0</v>
      </c>
      <c r="CN12" s="5">
        <f t="shared" si="132"/>
        <v>0</v>
      </c>
      <c r="CO12" s="33">
        <f>AVERAGE(CJ12:CN12)</f>
        <v>0</v>
      </c>
      <c r="CP12" s="109"/>
      <c r="CQ12" s="37"/>
      <c r="CR12" s="14">
        <f>$F$12</f>
        <v>0</v>
      </c>
      <c r="CS12" s="6">
        <f t="shared" ref="CS12:CV12" si="133">$F$12</f>
        <v>0</v>
      </c>
      <c r="CT12" s="6">
        <f t="shared" si="133"/>
        <v>0</v>
      </c>
      <c r="CU12" s="6">
        <f t="shared" si="133"/>
        <v>0</v>
      </c>
      <c r="CV12" s="6">
        <f t="shared" si="133"/>
        <v>0</v>
      </c>
      <c r="CW12" s="40">
        <f>AVERAGE(CR12:CV12)</f>
        <v>0</v>
      </c>
      <c r="CX12" s="108"/>
      <c r="CY12" s="30"/>
      <c r="CZ12" s="9">
        <f>$F$12</f>
        <v>0</v>
      </c>
      <c r="DA12" s="5">
        <f t="shared" ref="DA12:DD12" si="134">$F$12</f>
        <v>0</v>
      </c>
      <c r="DB12" s="5">
        <f t="shared" si="134"/>
        <v>0</v>
      </c>
      <c r="DC12" s="5">
        <f t="shared" si="134"/>
        <v>0</v>
      </c>
      <c r="DD12" s="5">
        <f t="shared" si="134"/>
        <v>0</v>
      </c>
      <c r="DE12" s="33">
        <f>AVERAGE(CZ12:DD12)</f>
        <v>0</v>
      </c>
      <c r="DF12" s="109"/>
      <c r="DG12" s="37"/>
      <c r="DH12" s="14">
        <f>$F$12</f>
        <v>0</v>
      </c>
      <c r="DI12" s="6">
        <f t="shared" ref="DI12:DL12" si="135">$F$12</f>
        <v>0</v>
      </c>
      <c r="DJ12" s="6">
        <f t="shared" si="135"/>
        <v>0</v>
      </c>
      <c r="DK12" s="6">
        <f t="shared" si="135"/>
        <v>0</v>
      </c>
      <c r="DL12" s="6">
        <f t="shared" si="135"/>
        <v>0</v>
      </c>
      <c r="DM12" s="40">
        <f>AVERAGE(DH12:DL12)</f>
        <v>0</v>
      </c>
      <c r="DN12" s="108"/>
      <c r="DO12" s="113"/>
    </row>
    <row r="13" spans="1:119" ht="13" x14ac:dyDescent="0.3">
      <c r="A13" s="114" t="s">
        <v>8</v>
      </c>
      <c r="B13" s="115"/>
      <c r="C13" s="135"/>
      <c r="D13" s="135"/>
      <c r="E13" s="135"/>
      <c r="F13" s="44" t="e">
        <f>AVERAGE(M13,U13,AC13,AK13,AS13,BA13,BI13,BQ13,BY13,CO13,CW13,DE13,DM13)</f>
        <v>#DIV/0!</v>
      </c>
      <c r="G13" s="116"/>
      <c r="H13" s="15" t="e">
        <f>(H11*100)/H12</f>
        <v>#DIV/0!</v>
      </c>
      <c r="I13" s="7" t="e">
        <f t="shared" ref="I13:M13" si="136">(I11*100)/I12</f>
        <v>#DIV/0!</v>
      </c>
      <c r="J13" s="7" t="e">
        <f t="shared" si="136"/>
        <v>#DIV/0!</v>
      </c>
      <c r="K13" s="7" t="e">
        <f t="shared" si="136"/>
        <v>#DIV/0!</v>
      </c>
      <c r="L13" s="7" t="e">
        <f t="shared" si="136"/>
        <v>#DIV/0!</v>
      </c>
      <c r="M13" s="40" t="e">
        <f t="shared" si="136"/>
        <v>#DIV/0!</v>
      </c>
      <c r="N13" s="108"/>
      <c r="O13" s="42"/>
      <c r="P13" s="26" t="e">
        <f>(P11*100)/P12</f>
        <v>#DIV/0!</v>
      </c>
      <c r="Q13" s="27" t="e">
        <f t="shared" ref="Q13:U13" si="137">(Q11*100)/Q12</f>
        <v>#DIV/0!</v>
      </c>
      <c r="R13" s="27" t="e">
        <f t="shared" si="137"/>
        <v>#DIV/0!</v>
      </c>
      <c r="S13" s="27" t="e">
        <f t="shared" si="137"/>
        <v>#DIV/0!</v>
      </c>
      <c r="T13" s="27" t="e">
        <f t="shared" si="137"/>
        <v>#DIV/0!</v>
      </c>
      <c r="U13" s="33" t="e">
        <f t="shared" si="137"/>
        <v>#DIV/0!</v>
      </c>
      <c r="V13" s="109"/>
      <c r="W13" s="38"/>
      <c r="X13" s="28" t="e">
        <f>(X11*100)/X12</f>
        <v>#DIV/0!</v>
      </c>
      <c r="Y13" s="29" t="e">
        <f t="shared" ref="Y13:AB13" si="138">(Y11*100)/Y12</f>
        <v>#DIV/0!</v>
      </c>
      <c r="Z13" s="29" t="e">
        <f t="shared" si="138"/>
        <v>#DIV/0!</v>
      </c>
      <c r="AA13" s="29" t="e">
        <f t="shared" si="138"/>
        <v>#DIV/0!</v>
      </c>
      <c r="AB13" s="29" t="e">
        <f t="shared" si="138"/>
        <v>#DIV/0!</v>
      </c>
      <c r="AC13" s="40" t="e">
        <f>(AC11*100)/AC12</f>
        <v>#DIV/0!</v>
      </c>
      <c r="AD13" s="108"/>
      <c r="AE13" s="42"/>
      <c r="AF13" s="26" t="e">
        <f>(AF11*100)/AF12</f>
        <v>#DIV/0!</v>
      </c>
      <c r="AG13" s="27" t="e">
        <f t="shared" ref="AG13:AK13" si="139">(AG11*100)/AG12</f>
        <v>#DIV/0!</v>
      </c>
      <c r="AH13" s="27" t="e">
        <f t="shared" si="139"/>
        <v>#DIV/0!</v>
      </c>
      <c r="AI13" s="27" t="e">
        <f t="shared" si="139"/>
        <v>#DIV/0!</v>
      </c>
      <c r="AJ13" s="27" t="e">
        <f t="shared" si="139"/>
        <v>#DIV/0!</v>
      </c>
      <c r="AK13" s="33" t="e">
        <f t="shared" si="139"/>
        <v>#DIV/0!</v>
      </c>
      <c r="AL13" s="109"/>
      <c r="AM13" s="38"/>
      <c r="AN13" s="28" t="e">
        <f>(AN11*100)/AN12</f>
        <v>#DIV/0!</v>
      </c>
      <c r="AO13" s="29" t="e">
        <f t="shared" ref="AO13:AR13" si="140">(AO11*100)/AO12</f>
        <v>#DIV/0!</v>
      </c>
      <c r="AP13" s="29" t="e">
        <f t="shared" si="140"/>
        <v>#DIV/0!</v>
      </c>
      <c r="AQ13" s="29" t="e">
        <f t="shared" si="140"/>
        <v>#DIV/0!</v>
      </c>
      <c r="AR13" s="29" t="e">
        <f t="shared" si="140"/>
        <v>#DIV/0!</v>
      </c>
      <c r="AS13" s="40" t="e">
        <f>(AS11*100)/AS12</f>
        <v>#DIV/0!</v>
      </c>
      <c r="AT13" s="108"/>
      <c r="AU13" s="42"/>
      <c r="AV13" s="26" t="e">
        <f>(AV11*100)/AV12</f>
        <v>#DIV/0!</v>
      </c>
      <c r="AW13" s="27" t="e">
        <f t="shared" ref="AW13:BA13" si="141">(AW11*100)/AW12</f>
        <v>#DIV/0!</v>
      </c>
      <c r="AX13" s="27" t="e">
        <f t="shared" si="141"/>
        <v>#DIV/0!</v>
      </c>
      <c r="AY13" s="27" t="e">
        <f t="shared" si="141"/>
        <v>#DIV/0!</v>
      </c>
      <c r="AZ13" s="27" t="e">
        <f t="shared" si="141"/>
        <v>#DIV/0!</v>
      </c>
      <c r="BA13" s="33" t="e">
        <f t="shared" si="141"/>
        <v>#DIV/0!</v>
      </c>
      <c r="BB13" s="109"/>
      <c r="BC13" s="38"/>
      <c r="BD13" s="28" t="e">
        <f>(BD11*100)/BD12</f>
        <v>#DIV/0!</v>
      </c>
      <c r="BE13" s="29" t="e">
        <f t="shared" ref="BE13:BH13" si="142">(BE11*100)/BE12</f>
        <v>#DIV/0!</v>
      </c>
      <c r="BF13" s="29" t="e">
        <f t="shared" si="142"/>
        <v>#DIV/0!</v>
      </c>
      <c r="BG13" s="29" t="e">
        <f t="shared" si="142"/>
        <v>#DIV/0!</v>
      </c>
      <c r="BH13" s="29" t="e">
        <f t="shared" si="142"/>
        <v>#DIV/0!</v>
      </c>
      <c r="BI13" s="40" t="e">
        <f>(BI11*100)/BI12</f>
        <v>#DIV/0!</v>
      </c>
      <c r="BJ13" s="108"/>
      <c r="BK13" s="42"/>
      <c r="BL13" s="26" t="e">
        <f>(BL11*100)/BL12</f>
        <v>#DIV/0!</v>
      </c>
      <c r="BM13" s="27" t="e">
        <f t="shared" ref="BM13:BQ13" si="143">(BM11*100)/BM12</f>
        <v>#DIV/0!</v>
      </c>
      <c r="BN13" s="27" t="e">
        <f t="shared" si="143"/>
        <v>#DIV/0!</v>
      </c>
      <c r="BO13" s="27" t="e">
        <f t="shared" si="143"/>
        <v>#DIV/0!</v>
      </c>
      <c r="BP13" s="27" t="e">
        <f t="shared" si="143"/>
        <v>#DIV/0!</v>
      </c>
      <c r="BQ13" s="33" t="e">
        <f t="shared" si="143"/>
        <v>#DIV/0!</v>
      </c>
      <c r="BR13" s="109"/>
      <c r="BS13" s="38"/>
      <c r="BT13" s="28" t="e">
        <f>(BT11*100)/BT12</f>
        <v>#DIV/0!</v>
      </c>
      <c r="BU13" s="29" t="e">
        <f t="shared" ref="BU13:BX13" si="144">(BU11*100)/BU12</f>
        <v>#DIV/0!</v>
      </c>
      <c r="BV13" s="29" t="e">
        <f t="shared" si="144"/>
        <v>#DIV/0!</v>
      </c>
      <c r="BW13" s="29" t="e">
        <f t="shared" si="144"/>
        <v>#DIV/0!</v>
      </c>
      <c r="BX13" s="29" t="e">
        <f t="shared" si="144"/>
        <v>#DIV/0!</v>
      </c>
      <c r="BY13" s="40" t="e">
        <f>(BY11*100)/BY12</f>
        <v>#DIV/0!</v>
      </c>
      <c r="BZ13" s="108"/>
      <c r="CA13" s="42"/>
      <c r="CB13" s="28" t="e">
        <f>(CB11*100)/CB12</f>
        <v>#DIV/0!</v>
      </c>
      <c r="CC13" s="29" t="e">
        <f t="shared" ref="CC13:CF13" si="145">(CC11*100)/CC12</f>
        <v>#DIV/0!</v>
      </c>
      <c r="CD13" s="29" t="e">
        <f t="shared" si="145"/>
        <v>#DIV/0!</v>
      </c>
      <c r="CE13" s="29" t="e">
        <f t="shared" si="145"/>
        <v>#DIV/0!</v>
      </c>
      <c r="CF13" s="29" t="e">
        <f t="shared" si="145"/>
        <v>#DIV/0!</v>
      </c>
      <c r="CG13" s="40" t="e">
        <f>(CG11*100)/CG12</f>
        <v>#DIV/0!</v>
      </c>
      <c r="CH13" s="108"/>
      <c r="CI13" s="42"/>
      <c r="CJ13" s="26" t="e">
        <f>(CJ11*100)/CJ12</f>
        <v>#DIV/0!</v>
      </c>
      <c r="CK13" s="27" t="e">
        <f t="shared" ref="CK13:CO13" si="146">(CK11*100)/CK12</f>
        <v>#DIV/0!</v>
      </c>
      <c r="CL13" s="27" t="e">
        <f t="shared" si="146"/>
        <v>#DIV/0!</v>
      </c>
      <c r="CM13" s="27" t="e">
        <f t="shared" si="146"/>
        <v>#DIV/0!</v>
      </c>
      <c r="CN13" s="27" t="e">
        <f t="shared" si="146"/>
        <v>#DIV/0!</v>
      </c>
      <c r="CO13" s="33" t="e">
        <f t="shared" si="146"/>
        <v>#DIV/0!</v>
      </c>
      <c r="CP13" s="109"/>
      <c r="CQ13" s="38"/>
      <c r="CR13" s="28" t="e">
        <f>(CR11*100)/CR12</f>
        <v>#DIV/0!</v>
      </c>
      <c r="CS13" s="29" t="e">
        <f t="shared" ref="CS13:CV13" si="147">(CS11*100)/CS12</f>
        <v>#DIV/0!</v>
      </c>
      <c r="CT13" s="29" t="e">
        <f t="shared" si="147"/>
        <v>#DIV/0!</v>
      </c>
      <c r="CU13" s="29" t="e">
        <f t="shared" si="147"/>
        <v>#DIV/0!</v>
      </c>
      <c r="CV13" s="29" t="e">
        <f t="shared" si="147"/>
        <v>#DIV/0!</v>
      </c>
      <c r="CW13" s="40" t="e">
        <f>(CW11*100)/CW12</f>
        <v>#DIV/0!</v>
      </c>
      <c r="CX13" s="108"/>
      <c r="CY13" s="42"/>
      <c r="CZ13" s="26" t="e">
        <f>(CZ11*100)/CZ12</f>
        <v>#DIV/0!</v>
      </c>
      <c r="DA13" s="27" t="e">
        <f t="shared" ref="DA13:DE13" si="148">(DA11*100)/DA12</f>
        <v>#DIV/0!</v>
      </c>
      <c r="DB13" s="27" t="e">
        <f t="shared" si="148"/>
        <v>#DIV/0!</v>
      </c>
      <c r="DC13" s="27" t="e">
        <f t="shared" si="148"/>
        <v>#DIV/0!</v>
      </c>
      <c r="DD13" s="27" t="e">
        <f t="shared" si="148"/>
        <v>#DIV/0!</v>
      </c>
      <c r="DE13" s="33" t="e">
        <f t="shared" si="148"/>
        <v>#DIV/0!</v>
      </c>
      <c r="DF13" s="109"/>
      <c r="DG13" s="38"/>
      <c r="DH13" s="28" t="e">
        <f>(DH11*100)/DH12</f>
        <v>#DIV/0!</v>
      </c>
      <c r="DI13" s="29" t="e">
        <f t="shared" ref="DI13:DL13" si="149">(DI11*100)/DI12</f>
        <v>#DIV/0!</v>
      </c>
      <c r="DJ13" s="29" t="e">
        <f t="shared" si="149"/>
        <v>#DIV/0!</v>
      </c>
      <c r="DK13" s="29" t="e">
        <f t="shared" si="149"/>
        <v>#DIV/0!</v>
      </c>
      <c r="DL13" s="29" t="e">
        <f t="shared" si="149"/>
        <v>#DIV/0!</v>
      </c>
      <c r="DM13" s="40" t="e">
        <f>(DM11*100)/DM12</f>
        <v>#DIV/0!</v>
      </c>
      <c r="DN13" s="108"/>
      <c r="DO13" s="117"/>
    </row>
    <row r="14" spans="1:119" x14ac:dyDescent="0.25">
      <c r="A14" s="113" t="s">
        <v>15</v>
      </c>
      <c r="B14" s="65"/>
      <c r="C14" s="65"/>
      <c r="D14" s="65"/>
      <c r="E14" s="65"/>
      <c r="F14" s="112"/>
      <c r="G14" s="112"/>
      <c r="H14" s="14">
        <f>COUNT(H8:H9)</f>
        <v>0</v>
      </c>
      <c r="I14" s="6">
        <f t="shared" ref="I14:L14" si="150">COUNT(I8:I9)</f>
        <v>0</v>
      </c>
      <c r="J14" s="6">
        <f t="shared" si="150"/>
        <v>0</v>
      </c>
      <c r="K14" s="6">
        <f t="shared" si="150"/>
        <v>0</v>
      </c>
      <c r="L14" s="6">
        <f t="shared" si="150"/>
        <v>0</v>
      </c>
      <c r="M14" s="13"/>
      <c r="N14" s="16"/>
      <c r="O14" s="30"/>
      <c r="P14" s="9">
        <f>COUNT(P8:P9)</f>
        <v>0</v>
      </c>
      <c r="Q14" s="5">
        <f t="shared" ref="Q14:T14" si="151">COUNT(Q8:Q9)</f>
        <v>0</v>
      </c>
      <c r="R14" s="5">
        <f t="shared" si="151"/>
        <v>0</v>
      </c>
      <c r="S14" s="5">
        <f t="shared" si="151"/>
        <v>0</v>
      </c>
      <c r="T14" s="5">
        <f t="shared" si="151"/>
        <v>0</v>
      </c>
      <c r="U14" s="8"/>
      <c r="V14" s="10"/>
      <c r="W14" s="37"/>
      <c r="X14" s="14">
        <f>COUNT(X8:X9)</f>
        <v>0</v>
      </c>
      <c r="Y14" s="6">
        <f t="shared" ref="Y14:AB14" si="152">COUNT(Y8:Y9)</f>
        <v>0</v>
      </c>
      <c r="Z14" s="6">
        <f t="shared" si="152"/>
        <v>0</v>
      </c>
      <c r="AA14" s="6">
        <f t="shared" si="152"/>
        <v>0</v>
      </c>
      <c r="AB14" s="6">
        <f t="shared" si="152"/>
        <v>0</v>
      </c>
      <c r="AC14" s="13"/>
      <c r="AD14" s="16"/>
      <c r="AE14" s="30"/>
      <c r="AF14" s="9">
        <f>COUNT(AF8:AF9)</f>
        <v>0</v>
      </c>
      <c r="AG14" s="5">
        <f t="shared" ref="AG14:AJ14" si="153">COUNT(AG8:AG9)</f>
        <v>0</v>
      </c>
      <c r="AH14" s="5">
        <f t="shared" si="153"/>
        <v>0</v>
      </c>
      <c r="AI14" s="5">
        <f t="shared" si="153"/>
        <v>0</v>
      </c>
      <c r="AJ14" s="5">
        <f t="shared" si="153"/>
        <v>0</v>
      </c>
      <c r="AK14" s="8"/>
      <c r="AL14" s="10"/>
      <c r="AM14" s="37"/>
      <c r="AN14" s="14">
        <f>COUNT(AN8:AN9)</f>
        <v>0</v>
      </c>
      <c r="AO14" s="6">
        <f t="shared" ref="AO14:AR14" si="154">COUNT(AO8:AO9)</f>
        <v>0</v>
      </c>
      <c r="AP14" s="6">
        <f t="shared" si="154"/>
        <v>0</v>
      </c>
      <c r="AQ14" s="6">
        <f t="shared" si="154"/>
        <v>0</v>
      </c>
      <c r="AR14" s="6">
        <f t="shared" si="154"/>
        <v>0</v>
      </c>
      <c r="AS14" s="13"/>
      <c r="AT14" s="16"/>
      <c r="AU14" s="30"/>
      <c r="AV14" s="9">
        <f>COUNT(AV8:AV9)</f>
        <v>0</v>
      </c>
      <c r="AW14" s="5">
        <f t="shared" ref="AW14:AZ14" si="155">COUNT(AW8:AW9)</f>
        <v>0</v>
      </c>
      <c r="AX14" s="5">
        <f t="shared" si="155"/>
        <v>0</v>
      </c>
      <c r="AY14" s="5">
        <f t="shared" si="155"/>
        <v>0</v>
      </c>
      <c r="AZ14" s="5">
        <f t="shared" si="155"/>
        <v>0</v>
      </c>
      <c r="BA14" s="8"/>
      <c r="BB14" s="10"/>
      <c r="BC14" s="37"/>
      <c r="BD14" s="14">
        <f>COUNT(BD8:BD9)</f>
        <v>0</v>
      </c>
      <c r="BE14" s="6">
        <f t="shared" ref="BE14:BH14" si="156">COUNT(BE8:BE9)</f>
        <v>0</v>
      </c>
      <c r="BF14" s="6">
        <f t="shared" si="156"/>
        <v>0</v>
      </c>
      <c r="BG14" s="6">
        <f t="shared" si="156"/>
        <v>0</v>
      </c>
      <c r="BH14" s="6">
        <f t="shared" si="156"/>
        <v>0</v>
      </c>
      <c r="BI14" s="13"/>
      <c r="BJ14" s="16"/>
      <c r="BK14" s="30"/>
      <c r="BL14" s="9">
        <f>COUNT(BL8:BL9)</f>
        <v>0</v>
      </c>
      <c r="BM14" s="5">
        <f t="shared" ref="BM14:BP14" si="157">COUNT(BM8:BM9)</f>
        <v>0</v>
      </c>
      <c r="BN14" s="5">
        <f t="shared" si="157"/>
        <v>0</v>
      </c>
      <c r="BO14" s="5">
        <f t="shared" si="157"/>
        <v>0</v>
      </c>
      <c r="BP14" s="5">
        <f t="shared" si="157"/>
        <v>0</v>
      </c>
      <c r="BQ14" s="8"/>
      <c r="BR14" s="10"/>
      <c r="BS14" s="37"/>
      <c r="BT14" s="14">
        <f>COUNT(BT8:BT9)</f>
        <v>0</v>
      </c>
      <c r="BU14" s="6">
        <f t="shared" ref="BU14:BX14" si="158">COUNT(BU8:BU9)</f>
        <v>0</v>
      </c>
      <c r="BV14" s="6">
        <f t="shared" si="158"/>
        <v>0</v>
      </c>
      <c r="BW14" s="6">
        <f t="shared" si="158"/>
        <v>0</v>
      </c>
      <c r="BX14" s="6">
        <f t="shared" si="158"/>
        <v>0</v>
      </c>
      <c r="BY14" s="13"/>
      <c r="BZ14" s="16"/>
      <c r="CA14" s="30"/>
      <c r="CB14" s="14">
        <f>COUNT(CB8:CB9)</f>
        <v>0</v>
      </c>
      <c r="CC14" s="6">
        <f t="shared" ref="CC14:CF14" si="159">COUNT(CC8:CC9)</f>
        <v>0</v>
      </c>
      <c r="CD14" s="6">
        <f t="shared" si="159"/>
        <v>0</v>
      </c>
      <c r="CE14" s="6">
        <f t="shared" si="159"/>
        <v>0</v>
      </c>
      <c r="CF14" s="6">
        <f t="shared" si="159"/>
        <v>0</v>
      </c>
      <c r="CG14" s="13"/>
      <c r="CH14" s="16"/>
      <c r="CI14" s="30"/>
      <c r="CJ14" s="9">
        <f>COUNT(CJ8:CJ9)</f>
        <v>0</v>
      </c>
      <c r="CK14" s="5">
        <f t="shared" ref="CK14:CN14" si="160">COUNT(CK8:CK9)</f>
        <v>0</v>
      </c>
      <c r="CL14" s="5">
        <f t="shared" si="160"/>
        <v>0</v>
      </c>
      <c r="CM14" s="5">
        <f t="shared" si="160"/>
        <v>0</v>
      </c>
      <c r="CN14" s="5">
        <f t="shared" si="160"/>
        <v>0</v>
      </c>
      <c r="CO14" s="8"/>
      <c r="CP14" s="10"/>
      <c r="CQ14" s="37"/>
      <c r="CR14" s="14">
        <f>COUNT(CR8:CR9)</f>
        <v>0</v>
      </c>
      <c r="CS14" s="6">
        <f t="shared" ref="CS14:CV14" si="161">COUNT(CS8:CS9)</f>
        <v>0</v>
      </c>
      <c r="CT14" s="6">
        <f t="shared" si="161"/>
        <v>0</v>
      </c>
      <c r="CU14" s="6">
        <f t="shared" si="161"/>
        <v>0</v>
      </c>
      <c r="CV14" s="6">
        <f t="shared" si="161"/>
        <v>0</v>
      </c>
      <c r="CW14" s="13"/>
      <c r="CX14" s="16"/>
      <c r="CY14" s="30"/>
      <c r="CZ14" s="9">
        <f>COUNT(CZ8:CZ9)</f>
        <v>0</v>
      </c>
      <c r="DA14" s="5">
        <f t="shared" ref="DA14:DD14" si="162">COUNT(DA8:DA9)</f>
        <v>0</v>
      </c>
      <c r="DB14" s="5">
        <f t="shared" si="162"/>
        <v>0</v>
      </c>
      <c r="DC14" s="5">
        <f t="shared" si="162"/>
        <v>0</v>
      </c>
      <c r="DD14" s="5">
        <f t="shared" si="162"/>
        <v>0</v>
      </c>
      <c r="DE14" s="8"/>
      <c r="DF14" s="10"/>
      <c r="DG14" s="37"/>
      <c r="DH14" s="14">
        <f>COUNT(DH8:DH9)</f>
        <v>0</v>
      </c>
      <c r="DI14" s="6">
        <f t="shared" ref="DI14:DL14" si="163">COUNT(DI8:DI9)</f>
        <v>0</v>
      </c>
      <c r="DJ14" s="6">
        <f t="shared" si="163"/>
        <v>0</v>
      </c>
      <c r="DK14" s="6">
        <f t="shared" si="163"/>
        <v>0</v>
      </c>
      <c r="DL14" s="6">
        <f t="shared" si="163"/>
        <v>0</v>
      </c>
      <c r="DM14" s="13"/>
      <c r="DN14" s="118"/>
      <c r="DO14" s="113"/>
    </row>
    <row r="15" spans="1:119" x14ac:dyDescent="0.25">
      <c r="A15" s="113" t="s">
        <v>16</v>
      </c>
      <c r="F15" s="119"/>
      <c r="G15" s="119"/>
      <c r="H15" s="36">
        <f>COUNTIF(H8:H9,1.5)</f>
        <v>0</v>
      </c>
      <c r="I15" s="35">
        <f t="shared" ref="I15:L15" si="164">COUNTIF(I8:I9,1.5)</f>
        <v>0</v>
      </c>
      <c r="J15" s="35">
        <f t="shared" si="164"/>
        <v>0</v>
      </c>
      <c r="K15" s="35">
        <f t="shared" si="164"/>
        <v>0</v>
      </c>
      <c r="L15" s="35">
        <f t="shared" si="164"/>
        <v>0</v>
      </c>
      <c r="M15" s="17"/>
      <c r="N15" s="18"/>
      <c r="O15" s="41"/>
      <c r="P15" s="34">
        <f>COUNTIF(P8:P9,1.5)</f>
        <v>0</v>
      </c>
      <c r="Q15" s="32">
        <f t="shared" ref="Q15:T15" si="165">COUNTIF(Q8:Q9,1.5)</f>
        <v>0</v>
      </c>
      <c r="R15" s="32">
        <f t="shared" si="165"/>
        <v>0</v>
      </c>
      <c r="S15" s="32">
        <f t="shared" si="165"/>
        <v>0</v>
      </c>
      <c r="T15" s="32">
        <f t="shared" si="165"/>
        <v>0</v>
      </c>
      <c r="U15" s="11"/>
      <c r="V15" s="12"/>
      <c r="W15" s="39"/>
      <c r="X15" s="36">
        <f>COUNTIF(X8:X9,1.5)</f>
        <v>0</v>
      </c>
      <c r="Y15" s="35">
        <f t="shared" ref="Y15:AB15" si="166">COUNTIF(Y8:Y9,1.5)</f>
        <v>0</v>
      </c>
      <c r="Z15" s="35">
        <f t="shared" si="166"/>
        <v>0</v>
      </c>
      <c r="AA15" s="35">
        <f t="shared" si="166"/>
        <v>0</v>
      </c>
      <c r="AB15" s="35">
        <f t="shared" si="166"/>
        <v>0</v>
      </c>
      <c r="AC15" s="17"/>
      <c r="AD15" s="18"/>
      <c r="AE15" s="41"/>
      <c r="AF15" s="34">
        <f>COUNTIF(AF8:AF9,1.5)</f>
        <v>0</v>
      </c>
      <c r="AG15" s="32">
        <f t="shared" ref="AG15:AJ15" si="167">COUNTIF(AG8:AG9,1.5)</f>
        <v>0</v>
      </c>
      <c r="AH15" s="32">
        <f t="shared" si="167"/>
        <v>0</v>
      </c>
      <c r="AI15" s="32">
        <f t="shared" si="167"/>
        <v>0</v>
      </c>
      <c r="AJ15" s="32">
        <f t="shared" si="167"/>
        <v>0</v>
      </c>
      <c r="AK15" s="11"/>
      <c r="AL15" s="12"/>
      <c r="AM15" s="39"/>
      <c r="AN15" s="36">
        <f>COUNTIF(AN8:AN9,1.5)</f>
        <v>0</v>
      </c>
      <c r="AO15" s="35">
        <f t="shared" ref="AO15:AR15" si="168">COUNTIF(AO8:AO9,1.5)</f>
        <v>0</v>
      </c>
      <c r="AP15" s="35">
        <f t="shared" si="168"/>
        <v>0</v>
      </c>
      <c r="AQ15" s="35">
        <f t="shared" si="168"/>
        <v>0</v>
      </c>
      <c r="AR15" s="35">
        <f t="shared" si="168"/>
        <v>0</v>
      </c>
      <c r="AS15" s="17"/>
      <c r="AT15" s="18"/>
      <c r="AU15" s="41"/>
      <c r="AV15" s="34">
        <f>COUNTIF(AV8:AV9,1.5)</f>
        <v>0</v>
      </c>
      <c r="AW15" s="32">
        <f t="shared" ref="AW15:AZ15" si="169">COUNTIF(AW8:AW9,1.5)</f>
        <v>0</v>
      </c>
      <c r="AX15" s="32">
        <f t="shared" si="169"/>
        <v>0</v>
      </c>
      <c r="AY15" s="32">
        <f t="shared" si="169"/>
        <v>0</v>
      </c>
      <c r="AZ15" s="32">
        <f t="shared" si="169"/>
        <v>0</v>
      </c>
      <c r="BA15" s="11"/>
      <c r="BB15" s="12"/>
      <c r="BC15" s="39"/>
      <c r="BD15" s="36">
        <f>COUNTIF(BD8:BD9,1.5)</f>
        <v>0</v>
      </c>
      <c r="BE15" s="35">
        <f t="shared" ref="BE15:BH15" si="170">COUNTIF(BE8:BE9,1.5)</f>
        <v>0</v>
      </c>
      <c r="BF15" s="35">
        <f t="shared" si="170"/>
        <v>0</v>
      </c>
      <c r="BG15" s="35">
        <f t="shared" si="170"/>
        <v>0</v>
      </c>
      <c r="BH15" s="35">
        <f t="shared" si="170"/>
        <v>0</v>
      </c>
      <c r="BI15" s="17"/>
      <c r="BJ15" s="18"/>
      <c r="BK15" s="41"/>
      <c r="BL15" s="34">
        <f>COUNTIF(BL8:BL9,1.5)</f>
        <v>0</v>
      </c>
      <c r="BM15" s="32">
        <f t="shared" ref="BM15:BP15" si="171">COUNTIF(BM8:BM9,1.5)</f>
        <v>0</v>
      </c>
      <c r="BN15" s="32">
        <f t="shared" si="171"/>
        <v>0</v>
      </c>
      <c r="BO15" s="32">
        <f t="shared" si="171"/>
        <v>0</v>
      </c>
      <c r="BP15" s="32">
        <f t="shared" si="171"/>
        <v>0</v>
      </c>
      <c r="BQ15" s="11"/>
      <c r="BR15" s="12"/>
      <c r="BS15" s="39"/>
      <c r="BT15" s="36">
        <f>COUNTIF(BT8:BT9,1.5)</f>
        <v>0</v>
      </c>
      <c r="BU15" s="35">
        <f t="shared" ref="BU15:BX15" si="172">COUNTIF(BU8:BU9,1.5)</f>
        <v>0</v>
      </c>
      <c r="BV15" s="35">
        <f t="shared" si="172"/>
        <v>0</v>
      </c>
      <c r="BW15" s="35">
        <f t="shared" si="172"/>
        <v>0</v>
      </c>
      <c r="BX15" s="35">
        <f t="shared" si="172"/>
        <v>0</v>
      </c>
      <c r="BY15" s="17"/>
      <c r="BZ15" s="18"/>
      <c r="CA15" s="41"/>
      <c r="CB15" s="36">
        <f>COUNTIF(CB8:CB9,1.5)</f>
        <v>0</v>
      </c>
      <c r="CC15" s="35">
        <f t="shared" ref="CC15:CF15" si="173">COUNTIF(CC8:CC9,1.5)</f>
        <v>0</v>
      </c>
      <c r="CD15" s="35">
        <f t="shared" si="173"/>
        <v>0</v>
      </c>
      <c r="CE15" s="35">
        <f t="shared" si="173"/>
        <v>0</v>
      </c>
      <c r="CF15" s="35">
        <f t="shared" si="173"/>
        <v>0</v>
      </c>
      <c r="CG15" s="17"/>
      <c r="CH15" s="18"/>
      <c r="CI15" s="41"/>
      <c r="CJ15" s="34">
        <f>COUNTIF(CJ8:CJ9,1.5)</f>
        <v>0</v>
      </c>
      <c r="CK15" s="32">
        <f t="shared" ref="CK15:CN15" si="174">COUNTIF(CK8:CK9,1.5)</f>
        <v>0</v>
      </c>
      <c r="CL15" s="32">
        <f t="shared" si="174"/>
        <v>0</v>
      </c>
      <c r="CM15" s="32">
        <f t="shared" si="174"/>
        <v>0</v>
      </c>
      <c r="CN15" s="32">
        <f t="shared" si="174"/>
        <v>0</v>
      </c>
      <c r="CO15" s="11"/>
      <c r="CP15" s="12"/>
      <c r="CQ15" s="39"/>
      <c r="CR15" s="36">
        <f>COUNTIF(CR8:CR9,1.5)</f>
        <v>0</v>
      </c>
      <c r="CS15" s="35">
        <f t="shared" ref="CS15:CV15" si="175">COUNTIF(CS8:CS9,1.5)</f>
        <v>0</v>
      </c>
      <c r="CT15" s="35">
        <f t="shared" si="175"/>
        <v>0</v>
      </c>
      <c r="CU15" s="35">
        <f t="shared" si="175"/>
        <v>0</v>
      </c>
      <c r="CV15" s="35">
        <f t="shared" si="175"/>
        <v>0</v>
      </c>
      <c r="CW15" s="17"/>
      <c r="CX15" s="18"/>
      <c r="CY15" s="41"/>
      <c r="CZ15" s="34">
        <f>COUNTIF(CZ8:CZ9,1.5)</f>
        <v>0</v>
      </c>
      <c r="DA15" s="32">
        <f t="shared" ref="DA15:DD15" si="176">COUNTIF(DA8:DA9,1.5)</f>
        <v>0</v>
      </c>
      <c r="DB15" s="32">
        <f t="shared" si="176"/>
        <v>0</v>
      </c>
      <c r="DC15" s="32">
        <f t="shared" si="176"/>
        <v>0</v>
      </c>
      <c r="DD15" s="32">
        <f t="shared" si="176"/>
        <v>0</v>
      </c>
      <c r="DE15" s="11"/>
      <c r="DF15" s="12"/>
      <c r="DG15" s="39"/>
      <c r="DH15" s="36">
        <f>COUNTIF(DH8:DH9,1.5)</f>
        <v>0</v>
      </c>
      <c r="DI15" s="35">
        <f t="shared" ref="DI15:DL15" si="177">COUNTIF(DI8:DI9,1.5)</f>
        <v>0</v>
      </c>
      <c r="DJ15" s="35">
        <f t="shared" si="177"/>
        <v>0</v>
      </c>
      <c r="DK15" s="35">
        <f t="shared" si="177"/>
        <v>0</v>
      </c>
      <c r="DL15" s="35">
        <f t="shared" si="177"/>
        <v>0</v>
      </c>
      <c r="DM15" s="17"/>
      <c r="DN15" s="18"/>
      <c r="DO15" s="41"/>
    </row>
    <row r="16" spans="1:119" ht="13" thickBot="1" x14ac:dyDescent="0.3">
      <c r="A16" s="122"/>
      <c r="B16" s="123"/>
      <c r="C16" s="123"/>
      <c r="D16" s="123"/>
      <c r="E16" s="123"/>
      <c r="F16" s="124"/>
      <c r="G16" s="119"/>
      <c r="H16" s="125"/>
      <c r="I16" s="126"/>
      <c r="J16" s="126"/>
      <c r="K16" s="126"/>
      <c r="L16" s="126"/>
      <c r="M16" s="126"/>
      <c r="N16" s="127"/>
      <c r="O16" s="120"/>
      <c r="P16" s="128"/>
      <c r="Q16" s="129"/>
      <c r="R16" s="129"/>
      <c r="S16" s="129"/>
      <c r="T16" s="129"/>
      <c r="U16" s="129"/>
      <c r="V16" s="130"/>
      <c r="W16" s="121"/>
      <c r="X16" s="131"/>
      <c r="Y16" s="126"/>
      <c r="Z16" s="126"/>
      <c r="AA16" s="126"/>
      <c r="AB16" s="126"/>
      <c r="AC16" s="126"/>
      <c r="AD16" s="127"/>
      <c r="AE16" s="120"/>
      <c r="AF16" s="128"/>
      <c r="AG16" s="129"/>
      <c r="AH16" s="129"/>
      <c r="AI16" s="129"/>
      <c r="AJ16" s="129"/>
      <c r="AK16" s="129"/>
      <c r="AL16" s="130"/>
      <c r="AM16" s="121"/>
      <c r="AN16" s="131"/>
      <c r="AO16" s="126"/>
      <c r="AP16" s="126"/>
      <c r="AQ16" s="126"/>
      <c r="AR16" s="126"/>
      <c r="AS16" s="126"/>
      <c r="AT16" s="127"/>
      <c r="AU16" s="120"/>
      <c r="AV16" s="128"/>
      <c r="AW16" s="129"/>
      <c r="AX16" s="129"/>
      <c r="AY16" s="129"/>
      <c r="AZ16" s="129"/>
      <c r="BA16" s="129"/>
      <c r="BB16" s="130"/>
      <c r="BC16" s="121"/>
      <c r="BD16" s="131"/>
      <c r="BE16" s="126"/>
      <c r="BF16" s="126"/>
      <c r="BG16" s="126"/>
      <c r="BH16" s="126"/>
      <c r="BI16" s="126"/>
      <c r="BJ16" s="127"/>
      <c r="BK16" s="120"/>
      <c r="BL16" s="128"/>
      <c r="BM16" s="129"/>
      <c r="BN16" s="129"/>
      <c r="BO16" s="129"/>
      <c r="BP16" s="129"/>
      <c r="BQ16" s="129"/>
      <c r="BR16" s="130"/>
      <c r="BS16" s="121"/>
      <c r="BT16" s="131"/>
      <c r="BU16" s="126"/>
      <c r="BV16" s="126"/>
      <c r="BW16" s="126"/>
      <c r="BX16" s="126"/>
      <c r="BY16" s="126"/>
      <c r="BZ16" s="127"/>
      <c r="CA16" s="120"/>
      <c r="CB16" s="131"/>
      <c r="CC16" s="126"/>
      <c r="CD16" s="126"/>
      <c r="CE16" s="126"/>
      <c r="CF16" s="126"/>
      <c r="CG16" s="126"/>
      <c r="CH16" s="127"/>
      <c r="CI16" s="120"/>
      <c r="CJ16" s="128"/>
      <c r="CK16" s="129"/>
      <c r="CL16" s="129"/>
      <c r="CM16" s="129"/>
      <c r="CN16" s="129"/>
      <c r="CO16" s="129"/>
      <c r="CP16" s="130"/>
      <c r="CQ16" s="121"/>
      <c r="CR16" s="131"/>
      <c r="CS16" s="126"/>
      <c r="CT16" s="126"/>
      <c r="CU16" s="126"/>
      <c r="CV16" s="126"/>
      <c r="CW16" s="126"/>
      <c r="CX16" s="127"/>
      <c r="CY16" s="120"/>
      <c r="CZ16" s="128"/>
      <c r="DA16" s="129"/>
      <c r="DB16" s="129"/>
      <c r="DC16" s="129"/>
      <c r="DD16" s="129"/>
      <c r="DE16" s="129"/>
      <c r="DF16" s="130"/>
      <c r="DG16" s="121"/>
      <c r="DH16" s="131"/>
      <c r="DI16" s="126"/>
      <c r="DJ16" s="126"/>
      <c r="DK16" s="126"/>
      <c r="DL16" s="126"/>
      <c r="DM16" s="126"/>
      <c r="DN16" s="127"/>
      <c r="DO16" s="120"/>
    </row>
  </sheetData>
  <sheetProtection formatCells="0" formatColumns="0" formatRows="0" insertRows="0" insertHyperlinks="0" sort="0"/>
  <mergeCells count="14">
    <mergeCell ref="AV4:BB4"/>
    <mergeCell ref="H4:N4"/>
    <mergeCell ref="P4:V4"/>
    <mergeCell ref="X4:AD4"/>
    <mergeCell ref="AF4:AL4"/>
    <mergeCell ref="AN4:AT4"/>
    <mergeCell ref="DH4:DN4"/>
    <mergeCell ref="BD4:BJ4"/>
    <mergeCell ref="BL4:BR4"/>
    <mergeCell ref="BT4:BZ4"/>
    <mergeCell ref="CJ4:CP4"/>
    <mergeCell ref="CR4:CX4"/>
    <mergeCell ref="CZ4:DF4"/>
    <mergeCell ref="CB4:CH4"/>
  </mergeCells>
  <conditionalFormatting sqref="H8:DO9">
    <cfRule type="cellIs" dxfId="0" priority="8" stopIfTrue="1" operator="equal">
      <formula>1.5</formula>
    </cfRule>
  </conditionalFormatting>
  <pageMargins left="0.78740157480314965" right="0.35433070866141736" top="0.98425196850393704" bottom="0.98425196850393704" header="0.51181102362204722" footer="0.51181102362204722"/>
  <pageSetup paperSize="9" orientation="landscape" horizontalDpi="4294967293" verticalDpi="4294967293" r:id="rId1"/>
  <headerFooter alignWithMargins="0"/>
  <ignoredErrors>
    <ignoredError sqref="C8 U8 U9:W9 V8:W8 AS8:AU9 AC9 AC8 BI8:BK9 BY8:CA9 CW8:CY9 DM8:DM9 CG8:CI9"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33C44-9359-4C76-BCC5-BDDB671D3AC6}">
  <sheetPr codeName="Tabelle8"/>
  <dimension ref="A1:E55"/>
  <sheetViews>
    <sheetView workbookViewId="0">
      <selection activeCell="AB7" sqref="AB7"/>
    </sheetView>
  </sheetViews>
  <sheetFormatPr baseColWidth="10" defaultColWidth="10.81640625" defaultRowHeight="12.5" x14ac:dyDescent="0.25"/>
  <cols>
    <col min="1" max="1" width="6.81640625" style="142" customWidth="1"/>
    <col min="2" max="2" width="36.453125" style="142" customWidth="1"/>
    <col min="3" max="3" width="11" style="142" customWidth="1"/>
    <col min="4" max="4" width="17.54296875" style="142" customWidth="1"/>
    <col min="5" max="5" width="3.26953125" style="142" customWidth="1"/>
    <col min="6" max="6" width="6.81640625" style="142" bestFit="1" customWidth="1"/>
    <col min="7" max="7" width="32.1796875" style="142" customWidth="1"/>
    <col min="8" max="8" width="10.453125" style="142" customWidth="1"/>
    <col min="9" max="9" width="15.453125" style="142" customWidth="1"/>
    <col min="10" max="10" width="2.81640625" style="142" customWidth="1"/>
    <col min="11" max="11" width="6.81640625" style="142" bestFit="1" customWidth="1"/>
    <col min="12" max="12" width="37.1796875" style="142" customWidth="1"/>
    <col min="13" max="13" width="10.54296875" style="142" customWidth="1"/>
    <col min="14" max="14" width="11.1796875" style="142" customWidth="1"/>
    <col min="15" max="15" width="3.26953125" style="142" customWidth="1"/>
    <col min="16" max="16" width="6.81640625" style="142" bestFit="1" customWidth="1"/>
    <col min="17" max="17" width="32.1796875" style="142" customWidth="1"/>
    <col min="18" max="18" width="10.453125" style="142" customWidth="1"/>
    <col min="19" max="19" width="15.453125" style="142" customWidth="1"/>
    <col min="20" max="20" width="2.81640625" style="142" customWidth="1"/>
    <col min="21" max="21" width="6.81640625" style="142" bestFit="1" customWidth="1"/>
    <col min="22" max="22" width="37.1796875" style="142" customWidth="1"/>
    <col min="23" max="23" width="10.54296875" style="142" customWidth="1"/>
    <col min="24" max="24" width="11.1796875" style="142" customWidth="1"/>
    <col min="25" max="25" width="3.26953125" style="142" customWidth="1"/>
    <col min="26" max="26" width="6.81640625" style="142" bestFit="1" customWidth="1"/>
    <col min="27" max="27" width="32.1796875" style="142" customWidth="1"/>
    <col min="28" max="28" width="10.453125" style="142" customWidth="1"/>
    <col min="29" max="29" width="15.453125" style="142" customWidth="1"/>
    <col min="30" max="30" width="2.81640625" style="142" customWidth="1"/>
    <col min="31" max="31" width="6.81640625" style="142" bestFit="1" customWidth="1"/>
    <col min="32" max="32" width="37.1796875" style="142" customWidth="1"/>
    <col min="33" max="33" width="10.54296875" style="142" customWidth="1"/>
    <col min="34" max="34" width="11.1796875" style="142" customWidth="1"/>
    <col min="35" max="16384" width="10.81640625" style="142"/>
  </cols>
  <sheetData>
    <row r="1" spans="1:5" ht="22.5" x14ac:dyDescent="0.45">
      <c r="B1" s="143" t="s">
        <v>31</v>
      </c>
    </row>
    <row r="2" spans="1:5" ht="13" thickBot="1" x14ac:dyDescent="0.3"/>
    <row r="3" spans="1:5" x14ac:dyDescent="0.25">
      <c r="A3" s="144"/>
      <c r="B3" s="145"/>
      <c r="C3" s="145"/>
      <c r="D3" s="146"/>
      <c r="E3" s="147"/>
    </row>
    <row r="4" spans="1:5" ht="13" x14ac:dyDescent="0.25">
      <c r="A4" s="199"/>
      <c r="B4" s="200"/>
      <c r="C4" s="158" t="s">
        <v>30</v>
      </c>
      <c r="D4" s="157" t="s">
        <v>29</v>
      </c>
      <c r="E4" s="147"/>
    </row>
    <row r="5" spans="1:5" x14ac:dyDescent="0.25">
      <c r="A5" s="148"/>
      <c r="B5" s="147"/>
      <c r="C5" s="147"/>
      <c r="D5" s="149"/>
      <c r="E5" s="147"/>
    </row>
    <row r="6" spans="1:5" x14ac:dyDescent="0.25">
      <c r="A6" s="150" t="s">
        <v>40</v>
      </c>
      <c r="B6" s="159"/>
      <c r="C6" s="159"/>
      <c r="D6" s="151"/>
      <c r="E6" s="147"/>
    </row>
    <row r="7" spans="1:5" x14ac:dyDescent="0.25">
      <c r="A7" s="150"/>
      <c r="B7" s="159"/>
      <c r="C7" s="159"/>
      <c r="D7" s="151"/>
      <c r="E7" s="147"/>
    </row>
    <row r="8" spans="1:5" x14ac:dyDescent="0.25">
      <c r="A8" s="150"/>
      <c r="B8" s="160"/>
      <c r="C8" s="160"/>
      <c r="D8" s="153"/>
      <c r="E8" s="147"/>
    </row>
    <row r="9" spans="1:5" x14ac:dyDescent="0.25">
      <c r="A9" s="148"/>
      <c r="B9" s="147"/>
      <c r="C9" s="147"/>
      <c r="D9" s="149"/>
      <c r="E9" s="147"/>
    </row>
    <row r="10" spans="1:5" x14ac:dyDescent="0.25">
      <c r="A10" s="150" t="s">
        <v>41</v>
      </c>
      <c r="B10" s="161"/>
      <c r="C10" s="161"/>
      <c r="D10" s="152"/>
      <c r="E10" s="147"/>
    </row>
    <row r="11" spans="1:5" x14ac:dyDescent="0.25">
      <c r="A11" s="150"/>
      <c r="B11" s="161"/>
      <c r="C11" s="161"/>
      <c r="D11" s="152"/>
      <c r="E11" s="147"/>
    </row>
    <row r="12" spans="1:5" x14ac:dyDescent="0.25">
      <c r="A12" s="150"/>
      <c r="B12" s="161"/>
      <c r="C12" s="161"/>
      <c r="D12" s="152"/>
      <c r="E12" s="147"/>
    </row>
    <row r="13" spans="1:5" x14ac:dyDescent="0.25">
      <c r="A13" s="162"/>
      <c r="B13" s="147"/>
      <c r="C13" s="147"/>
      <c r="D13" s="149"/>
      <c r="E13" s="147"/>
    </row>
    <row r="14" spans="1:5" x14ac:dyDescent="0.25">
      <c r="A14" s="150" t="s">
        <v>42</v>
      </c>
      <c r="B14" s="161"/>
      <c r="C14" s="161"/>
      <c r="D14" s="152"/>
      <c r="E14" s="147"/>
    </row>
    <row r="15" spans="1:5" x14ac:dyDescent="0.25">
      <c r="A15" s="150"/>
      <c r="B15" s="161"/>
      <c r="C15" s="161"/>
      <c r="D15" s="152"/>
      <c r="E15" s="147"/>
    </row>
    <row r="16" spans="1:5" x14ac:dyDescent="0.25">
      <c r="A16" s="150"/>
      <c r="B16" s="161"/>
      <c r="C16" s="161"/>
      <c r="D16" s="152"/>
      <c r="E16" s="147"/>
    </row>
    <row r="17" spans="1:5" x14ac:dyDescent="0.25">
      <c r="A17" s="148"/>
      <c r="B17" s="147"/>
      <c r="C17" s="147"/>
      <c r="D17" s="149"/>
      <c r="E17" s="147"/>
    </row>
    <row r="18" spans="1:5" x14ac:dyDescent="0.25">
      <c r="A18" s="150" t="s">
        <v>43</v>
      </c>
      <c r="B18" s="159"/>
      <c r="C18" s="159"/>
      <c r="D18" s="151"/>
      <c r="E18" s="147"/>
    </row>
    <row r="19" spans="1:5" x14ac:dyDescent="0.25">
      <c r="A19" s="150"/>
      <c r="B19" s="159"/>
      <c r="C19" s="159"/>
      <c r="D19" s="151"/>
      <c r="E19" s="147"/>
    </row>
    <row r="20" spans="1:5" x14ac:dyDescent="0.25">
      <c r="A20" s="150"/>
      <c r="B20" s="160"/>
      <c r="C20" s="160"/>
      <c r="D20" s="153"/>
      <c r="E20" s="147"/>
    </row>
    <row r="21" spans="1:5" x14ac:dyDescent="0.25">
      <c r="A21" s="148"/>
      <c r="B21" s="147"/>
      <c r="C21" s="147"/>
      <c r="D21" s="149"/>
      <c r="E21" s="147"/>
    </row>
    <row r="22" spans="1:5" x14ac:dyDescent="0.25">
      <c r="A22" s="150" t="s">
        <v>25</v>
      </c>
      <c r="B22" s="161"/>
      <c r="C22" s="161"/>
      <c r="D22" s="152"/>
      <c r="E22" s="147"/>
    </row>
    <row r="23" spans="1:5" x14ac:dyDescent="0.25">
      <c r="A23" s="150"/>
      <c r="B23" s="161"/>
      <c r="C23" s="161"/>
      <c r="D23" s="152"/>
      <c r="E23" s="147"/>
    </row>
    <row r="24" spans="1:5" x14ac:dyDescent="0.25">
      <c r="A24" s="150"/>
      <c r="B24" s="161"/>
      <c r="C24" s="161"/>
      <c r="D24" s="152"/>
      <c r="E24" s="147"/>
    </row>
    <row r="25" spans="1:5" x14ac:dyDescent="0.25">
      <c r="A25" s="148"/>
      <c r="B25" s="147"/>
      <c r="C25" s="147"/>
      <c r="D25" s="149"/>
      <c r="E25" s="147"/>
    </row>
    <row r="26" spans="1:5" x14ac:dyDescent="0.25">
      <c r="A26" s="150" t="s">
        <v>26</v>
      </c>
      <c r="B26" s="161"/>
      <c r="C26" s="161"/>
      <c r="D26" s="152"/>
      <c r="E26" s="147"/>
    </row>
    <row r="27" spans="1:5" x14ac:dyDescent="0.25">
      <c r="A27" s="150"/>
      <c r="B27" s="161"/>
      <c r="C27" s="161"/>
      <c r="D27" s="152"/>
      <c r="E27" s="147"/>
    </row>
    <row r="28" spans="1:5" x14ac:dyDescent="0.25">
      <c r="A28" s="150"/>
      <c r="B28" s="161"/>
      <c r="C28" s="161"/>
      <c r="D28" s="152"/>
      <c r="E28" s="147"/>
    </row>
    <row r="29" spans="1:5" x14ac:dyDescent="0.25">
      <c r="A29" s="148"/>
      <c r="B29" s="147"/>
      <c r="C29" s="147"/>
      <c r="D29" s="149"/>
      <c r="E29" s="147"/>
    </row>
    <row r="30" spans="1:5" x14ac:dyDescent="0.25">
      <c r="A30" s="150" t="s">
        <v>27</v>
      </c>
      <c r="B30" s="161"/>
      <c r="C30" s="161"/>
      <c r="D30" s="152"/>
      <c r="E30" s="147"/>
    </row>
    <row r="31" spans="1:5" x14ac:dyDescent="0.25">
      <c r="A31" s="150"/>
      <c r="B31" s="161"/>
      <c r="C31" s="161"/>
      <c r="D31" s="152"/>
      <c r="E31" s="147"/>
    </row>
    <row r="32" spans="1:5" x14ac:dyDescent="0.25">
      <c r="A32" s="150"/>
      <c r="B32" s="161"/>
      <c r="C32" s="161"/>
      <c r="D32" s="152"/>
      <c r="E32" s="147"/>
    </row>
    <row r="33" spans="1:5" x14ac:dyDescent="0.25">
      <c r="A33" s="148"/>
      <c r="B33" s="147"/>
      <c r="C33" s="147"/>
      <c r="D33" s="149"/>
      <c r="E33" s="147"/>
    </row>
    <row r="34" spans="1:5" x14ac:dyDescent="0.25">
      <c r="A34" s="150" t="s">
        <v>28</v>
      </c>
      <c r="B34" s="161"/>
      <c r="C34" s="161"/>
      <c r="D34" s="152"/>
      <c r="E34" s="147"/>
    </row>
    <row r="35" spans="1:5" x14ac:dyDescent="0.25">
      <c r="A35" s="150"/>
      <c r="B35" s="161"/>
      <c r="C35" s="161"/>
      <c r="D35" s="152"/>
      <c r="E35" s="147"/>
    </row>
    <row r="36" spans="1:5" x14ac:dyDescent="0.25">
      <c r="A36" s="150"/>
      <c r="B36" s="161"/>
      <c r="C36" s="161"/>
      <c r="D36" s="152"/>
      <c r="E36" s="147"/>
    </row>
    <row r="37" spans="1:5" x14ac:dyDescent="0.25">
      <c r="A37" s="150"/>
      <c r="B37" s="163"/>
      <c r="C37" s="161"/>
      <c r="D37" s="152"/>
      <c r="E37" s="147"/>
    </row>
    <row r="38" spans="1:5" x14ac:dyDescent="0.25">
      <c r="A38" s="150"/>
      <c r="B38" s="161"/>
      <c r="C38" s="161"/>
      <c r="D38" s="152"/>
      <c r="E38" s="147"/>
    </row>
    <row r="39" spans="1:5" x14ac:dyDescent="0.25">
      <c r="A39" s="148"/>
      <c r="B39" s="147"/>
      <c r="C39" s="147"/>
      <c r="D39" s="149"/>
      <c r="E39" s="147"/>
    </row>
    <row r="40" spans="1:5" x14ac:dyDescent="0.25">
      <c r="A40" s="150" t="s">
        <v>44</v>
      </c>
      <c r="B40" s="161"/>
      <c r="C40" s="164"/>
      <c r="D40" s="152"/>
      <c r="E40" s="147"/>
    </row>
    <row r="41" spans="1:5" x14ac:dyDescent="0.25">
      <c r="A41" s="150"/>
      <c r="B41" s="161"/>
      <c r="C41" s="161"/>
      <c r="D41" s="152"/>
      <c r="E41" s="147"/>
    </row>
    <row r="42" spans="1:5" x14ac:dyDescent="0.25">
      <c r="A42" s="150"/>
      <c r="B42" s="161"/>
      <c r="C42" s="164"/>
      <c r="D42" s="152"/>
      <c r="E42" s="147"/>
    </row>
    <row r="43" spans="1:5" x14ac:dyDescent="0.25">
      <c r="A43" s="148"/>
      <c r="B43" s="147"/>
      <c r="C43" s="147"/>
      <c r="D43" s="149"/>
      <c r="E43" s="147"/>
    </row>
    <row r="44" spans="1:5" x14ac:dyDescent="0.25">
      <c r="A44" s="150" t="s">
        <v>45</v>
      </c>
      <c r="B44" s="163"/>
      <c r="C44" s="163"/>
      <c r="D44" s="152"/>
      <c r="E44" s="147"/>
    </row>
    <row r="45" spans="1:5" x14ac:dyDescent="0.25">
      <c r="A45" s="150"/>
      <c r="B45" s="163"/>
      <c r="C45" s="163"/>
      <c r="D45" s="152"/>
      <c r="E45" s="147"/>
    </row>
    <row r="46" spans="1:5" x14ac:dyDescent="0.25">
      <c r="A46" s="150"/>
      <c r="B46" s="163"/>
      <c r="C46" s="163"/>
      <c r="D46" s="152"/>
      <c r="E46" s="147"/>
    </row>
    <row r="47" spans="1:5" x14ac:dyDescent="0.25">
      <c r="A47" s="148"/>
      <c r="B47" s="147"/>
      <c r="C47" s="147"/>
      <c r="D47" s="149"/>
      <c r="E47" s="147"/>
    </row>
    <row r="48" spans="1:5" x14ac:dyDescent="0.25">
      <c r="A48" s="150" t="s">
        <v>46</v>
      </c>
      <c r="B48" s="163"/>
      <c r="C48" s="163"/>
      <c r="D48" s="152"/>
      <c r="E48" s="147"/>
    </row>
    <row r="49" spans="1:5" x14ac:dyDescent="0.25">
      <c r="A49" s="150"/>
      <c r="B49" s="163"/>
      <c r="C49" s="163"/>
      <c r="D49" s="152"/>
      <c r="E49" s="147"/>
    </row>
    <row r="50" spans="1:5" x14ac:dyDescent="0.25">
      <c r="A50" s="150"/>
      <c r="B50" s="163"/>
      <c r="C50" s="163"/>
      <c r="D50" s="152"/>
      <c r="E50" s="147"/>
    </row>
    <row r="51" spans="1:5" x14ac:dyDescent="0.25">
      <c r="A51" s="148"/>
      <c r="B51" s="147"/>
      <c r="C51" s="147"/>
      <c r="D51" s="149"/>
      <c r="E51" s="147"/>
    </row>
    <row r="52" spans="1:5" x14ac:dyDescent="0.25">
      <c r="A52" s="150" t="s">
        <v>47</v>
      </c>
      <c r="B52" s="163"/>
      <c r="C52" s="163"/>
      <c r="D52" s="152"/>
      <c r="E52" s="147"/>
    </row>
    <row r="53" spans="1:5" x14ac:dyDescent="0.25">
      <c r="A53" s="150"/>
      <c r="B53" s="163"/>
      <c r="C53" s="163"/>
      <c r="D53" s="152"/>
      <c r="E53" s="147"/>
    </row>
    <row r="54" spans="1:5" x14ac:dyDescent="0.25">
      <c r="A54" s="150"/>
      <c r="B54" s="165"/>
      <c r="C54" s="165"/>
      <c r="D54" s="152"/>
      <c r="E54" s="147"/>
    </row>
    <row r="55" spans="1:5" ht="13" thickBot="1" x14ac:dyDescent="0.3">
      <c r="A55" s="154"/>
      <c r="B55" s="155"/>
      <c r="C55" s="155"/>
      <c r="D55" s="156"/>
      <c r="E55" s="147"/>
    </row>
  </sheetData>
  <mergeCells count="1">
    <mergeCell ref="A4:B4"/>
  </mergeCells>
  <pageMargins left="0.19685039370078741" right="0.70866141732283472" top="0.78740157480314965" bottom="0.78740157480314965" header="0.31496062992125984" footer="0.31496062992125984"/>
  <pageSetup paperSize="9" scale="65"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dimension ref="A2:M17"/>
  <sheetViews>
    <sheetView workbookViewId="0">
      <selection activeCell="AB7" sqref="AB7"/>
    </sheetView>
  </sheetViews>
  <sheetFormatPr baseColWidth="10" defaultRowHeight="12.5" x14ac:dyDescent="0.25"/>
  <sheetData>
    <row r="2" spans="1:13" x14ac:dyDescent="0.25">
      <c r="A2" s="166"/>
      <c r="B2" s="166"/>
      <c r="C2" s="166"/>
      <c r="D2" s="166"/>
      <c r="E2" s="166"/>
      <c r="F2" s="166"/>
      <c r="G2" s="166"/>
      <c r="H2" s="166"/>
      <c r="I2" s="166"/>
      <c r="J2" s="166"/>
      <c r="K2" s="3"/>
    </row>
    <row r="3" spans="1:13" x14ac:dyDescent="0.25">
      <c r="A3" s="166"/>
      <c r="B3" s="166"/>
      <c r="C3" s="166"/>
      <c r="D3" s="166"/>
      <c r="E3" s="166"/>
      <c r="F3" s="166"/>
      <c r="G3" s="166"/>
      <c r="H3" s="166"/>
      <c r="I3" s="166"/>
      <c r="J3" s="166"/>
      <c r="K3" s="3"/>
    </row>
    <row r="4" spans="1:13" x14ac:dyDescent="0.25">
      <c r="A4" s="166"/>
      <c r="B4" s="166"/>
      <c r="C4" s="166"/>
      <c r="D4" s="166"/>
      <c r="E4" s="166"/>
      <c r="F4" s="166"/>
      <c r="G4" s="166"/>
      <c r="H4" s="166"/>
      <c r="I4" s="166"/>
      <c r="J4" s="166"/>
      <c r="K4" s="3"/>
    </row>
    <row r="5" spans="1:13" x14ac:dyDescent="0.25">
      <c r="A5" s="166"/>
      <c r="B5" s="166"/>
      <c r="C5" s="166"/>
      <c r="D5" s="166"/>
      <c r="E5" s="166"/>
      <c r="F5" s="166"/>
      <c r="G5" s="166"/>
      <c r="H5" s="166"/>
      <c r="I5" s="166"/>
      <c r="J5" s="166"/>
      <c r="K5" s="3"/>
    </row>
    <row r="6" spans="1:13" x14ac:dyDescent="0.25">
      <c r="A6" s="166"/>
      <c r="B6" s="166"/>
      <c r="C6" s="166"/>
      <c r="D6" s="166"/>
      <c r="E6" s="166"/>
      <c r="F6" s="166"/>
      <c r="G6" s="166"/>
      <c r="H6" s="166"/>
      <c r="I6" s="166"/>
      <c r="J6" s="166"/>
      <c r="K6" s="3"/>
    </row>
    <row r="7" spans="1:13" x14ac:dyDescent="0.25">
      <c r="A7" s="166"/>
      <c r="B7" s="166"/>
      <c r="C7" s="166"/>
      <c r="D7" s="166"/>
      <c r="E7" s="166"/>
      <c r="F7" s="166"/>
      <c r="G7" s="166"/>
      <c r="H7" s="166"/>
      <c r="I7" s="166"/>
      <c r="J7" s="166"/>
      <c r="K7" s="3"/>
    </row>
    <row r="8" spans="1:13" x14ac:dyDescent="0.25">
      <c r="A8" s="166"/>
      <c r="B8" s="166"/>
      <c r="C8" s="166"/>
      <c r="D8" s="166"/>
      <c r="E8" s="166"/>
      <c r="F8" s="166"/>
      <c r="G8" s="166"/>
      <c r="H8" s="166"/>
      <c r="I8" s="166"/>
      <c r="J8" s="166"/>
      <c r="K8" s="3"/>
    </row>
    <row r="9" spans="1:13" x14ac:dyDescent="0.25">
      <c r="A9" s="166"/>
      <c r="B9" s="166"/>
      <c r="C9" s="166"/>
      <c r="D9" s="166"/>
      <c r="E9" s="166"/>
      <c r="F9" s="166"/>
      <c r="G9" s="166"/>
      <c r="H9" s="166"/>
      <c r="I9" s="166"/>
      <c r="J9" s="166"/>
      <c r="K9" s="3"/>
      <c r="M9" s="3"/>
    </row>
    <row r="10" spans="1:13" x14ac:dyDescent="0.25">
      <c r="A10" s="166"/>
      <c r="B10" s="166"/>
      <c r="C10" s="166"/>
      <c r="D10" s="166"/>
      <c r="E10" s="166"/>
      <c r="F10" s="166"/>
      <c r="G10" s="166"/>
      <c r="H10" s="166"/>
      <c r="I10" s="166"/>
      <c r="J10" s="166"/>
      <c r="K10" s="3"/>
    </row>
    <row r="11" spans="1:13" x14ac:dyDescent="0.25">
      <c r="A11" s="166"/>
      <c r="B11" s="166"/>
      <c r="C11" s="166"/>
      <c r="D11" s="166"/>
      <c r="E11" s="166"/>
      <c r="F11" s="166"/>
      <c r="G11" s="166"/>
      <c r="H11" s="166"/>
      <c r="I11" s="166"/>
      <c r="J11" s="166"/>
      <c r="K11" s="3"/>
    </row>
    <row r="12" spans="1:13" x14ac:dyDescent="0.25">
      <c r="A12" s="166"/>
      <c r="B12" s="166"/>
      <c r="C12" s="166"/>
      <c r="D12" s="166"/>
      <c r="E12" s="166"/>
      <c r="F12" s="166"/>
      <c r="G12" s="166"/>
      <c r="H12" s="166"/>
      <c r="I12" s="166"/>
      <c r="J12" s="166"/>
      <c r="K12" s="3"/>
    </row>
    <row r="13" spans="1:13" x14ac:dyDescent="0.25">
      <c r="A13" s="166"/>
      <c r="B13" s="166"/>
      <c r="C13" s="166"/>
      <c r="D13" s="166"/>
      <c r="E13" s="166"/>
      <c r="F13" s="166"/>
      <c r="G13" s="166"/>
      <c r="H13" s="166"/>
      <c r="I13" s="166"/>
      <c r="J13" s="166"/>
      <c r="K13" s="3"/>
    </row>
    <row r="14" spans="1:13" x14ac:dyDescent="0.25">
      <c r="A14" s="166"/>
      <c r="B14" s="166"/>
      <c r="C14" s="166"/>
      <c r="D14" s="166"/>
      <c r="E14" s="166"/>
      <c r="F14" s="166"/>
      <c r="G14" s="166"/>
      <c r="H14" s="166"/>
      <c r="I14" s="166"/>
      <c r="J14" s="166"/>
      <c r="K14" s="3"/>
    </row>
    <row r="15" spans="1:13" x14ac:dyDescent="0.25">
      <c r="A15" s="166"/>
      <c r="B15" s="166"/>
      <c r="C15" s="166"/>
      <c r="D15" s="166"/>
      <c r="E15" s="166"/>
      <c r="F15" s="166"/>
      <c r="G15" s="166"/>
      <c r="H15" s="166"/>
      <c r="I15" s="166"/>
      <c r="J15" s="166"/>
      <c r="K15" s="3"/>
    </row>
    <row r="16" spans="1:13" x14ac:dyDescent="0.25">
      <c r="A16" s="166"/>
      <c r="B16" s="166"/>
      <c r="C16" s="166"/>
      <c r="D16" s="166"/>
      <c r="E16" s="166"/>
      <c r="F16" s="166"/>
      <c r="G16" s="166"/>
      <c r="H16" s="166"/>
      <c r="I16" s="166"/>
      <c r="J16" s="166"/>
      <c r="K16" s="3"/>
    </row>
    <row r="17" spans="11:11" x14ac:dyDescent="0.25">
      <c r="K17" s="3"/>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pageSetUpPr fitToPage="1"/>
  </sheetPr>
  <dimension ref="A1:R27"/>
  <sheetViews>
    <sheetView workbookViewId="0">
      <selection activeCell="X20" sqref="X20"/>
    </sheetView>
  </sheetViews>
  <sheetFormatPr baseColWidth="10" defaultRowHeight="12.5" x14ac:dyDescent="0.25"/>
  <cols>
    <col min="7" max="7" width="17.26953125" customWidth="1"/>
    <col min="8" max="8" width="4.1796875" customWidth="1"/>
    <col min="9" max="9" width="34" customWidth="1"/>
    <col min="15" max="15" width="43.81640625" customWidth="1"/>
  </cols>
  <sheetData>
    <row r="1" spans="1:17" x14ac:dyDescent="0.25">
      <c r="A1" s="3"/>
    </row>
    <row r="2" spans="1:17" x14ac:dyDescent="0.25">
      <c r="Q2" s="3"/>
    </row>
    <row r="3" spans="1:17" ht="13" x14ac:dyDescent="0.3">
      <c r="A3" s="19" t="s">
        <v>17</v>
      </c>
    </row>
    <row r="4" spans="1:17" ht="13" x14ac:dyDescent="0.3">
      <c r="A4" s="19"/>
    </row>
    <row r="5" spans="1:17" x14ac:dyDescent="0.25">
      <c r="A5" s="22" t="s">
        <v>24</v>
      </c>
      <c r="B5" s="22" t="s">
        <v>20</v>
      </c>
      <c r="C5" s="137" t="s">
        <v>21</v>
      </c>
      <c r="D5" s="23" t="s">
        <v>22</v>
      </c>
      <c r="E5" s="24"/>
      <c r="F5" s="24"/>
      <c r="G5" s="24"/>
      <c r="H5" s="136"/>
      <c r="I5" s="23" t="s">
        <v>23</v>
      </c>
      <c r="J5" s="24"/>
      <c r="K5" s="24"/>
      <c r="L5" s="136"/>
      <c r="M5" s="23" t="s">
        <v>18</v>
      </c>
      <c r="N5" s="24"/>
      <c r="O5" s="136"/>
      <c r="P5" s="22" t="s">
        <v>19</v>
      </c>
      <c r="Q5" s="24"/>
    </row>
    <row r="7" spans="1:17" ht="13" x14ac:dyDescent="0.3">
      <c r="A7" s="167"/>
      <c r="B7" s="167"/>
      <c r="C7" s="168"/>
      <c r="D7" s="169"/>
      <c r="E7" s="167"/>
      <c r="F7" s="167"/>
      <c r="G7" s="167"/>
      <c r="H7" s="168"/>
      <c r="I7" s="169"/>
      <c r="J7" s="167"/>
      <c r="K7" s="167"/>
      <c r="L7" s="168"/>
      <c r="M7" s="169"/>
      <c r="N7" s="167"/>
      <c r="O7" s="168"/>
      <c r="P7" s="167"/>
      <c r="Q7" s="167"/>
    </row>
    <row r="8" spans="1:17" ht="13" x14ac:dyDescent="0.3">
      <c r="A8" s="167"/>
      <c r="B8" s="167"/>
      <c r="C8" s="168"/>
      <c r="D8" s="169"/>
      <c r="E8" s="167"/>
      <c r="F8" s="167"/>
      <c r="G8" s="167"/>
      <c r="H8" s="168"/>
      <c r="I8" s="169"/>
      <c r="J8" s="167"/>
      <c r="K8" s="167"/>
      <c r="L8" s="168"/>
      <c r="M8" s="169"/>
      <c r="N8" s="167"/>
      <c r="O8" s="168"/>
      <c r="P8" s="167"/>
      <c r="Q8" s="167"/>
    </row>
    <row r="9" spans="1:17" ht="13" x14ac:dyDescent="0.3">
      <c r="A9" s="167"/>
      <c r="B9" s="167"/>
      <c r="C9" s="168"/>
      <c r="D9" s="169"/>
      <c r="E9" s="167"/>
      <c r="F9" s="167"/>
      <c r="G9" s="167"/>
      <c r="H9" s="168"/>
      <c r="I9" s="169"/>
      <c r="J9" s="167"/>
      <c r="K9" s="167"/>
      <c r="L9" s="168"/>
      <c r="M9" s="169"/>
      <c r="N9" s="167"/>
      <c r="O9" s="168"/>
      <c r="P9" s="167"/>
      <c r="Q9" s="167"/>
    </row>
    <row r="10" spans="1:17" ht="13" x14ac:dyDescent="0.3">
      <c r="A10" s="167"/>
      <c r="B10" s="167"/>
      <c r="C10" s="168"/>
      <c r="D10" s="169"/>
      <c r="E10" s="167"/>
      <c r="F10" s="167"/>
      <c r="G10" s="167"/>
      <c r="H10" s="168"/>
      <c r="I10" s="169"/>
      <c r="J10" s="167"/>
      <c r="K10" s="167"/>
      <c r="L10" s="168"/>
      <c r="M10" s="169"/>
      <c r="N10" s="167"/>
      <c r="O10" s="168"/>
      <c r="P10" s="167"/>
      <c r="Q10" s="167"/>
    </row>
    <row r="11" spans="1:17" ht="13" x14ac:dyDescent="0.3">
      <c r="A11" s="167"/>
      <c r="B11" s="167"/>
      <c r="C11" s="168"/>
      <c r="D11" s="169"/>
      <c r="E11" s="167"/>
      <c r="F11" s="167"/>
      <c r="G11" s="167"/>
      <c r="H11" s="168"/>
      <c r="I11" s="169"/>
      <c r="J11" s="167"/>
      <c r="K11" s="167"/>
      <c r="L11" s="168"/>
      <c r="M11" s="169"/>
      <c r="N11" s="167"/>
      <c r="O11" s="168"/>
      <c r="P11" s="167"/>
      <c r="Q11" s="167"/>
    </row>
    <row r="12" spans="1:17" ht="13" x14ac:dyDescent="0.3">
      <c r="A12" s="167"/>
      <c r="B12" s="167"/>
      <c r="C12" s="168"/>
      <c r="D12" s="169"/>
      <c r="E12" s="167"/>
      <c r="F12" s="167"/>
      <c r="G12" s="167"/>
      <c r="H12" s="168"/>
      <c r="I12" s="169"/>
      <c r="J12" s="167"/>
      <c r="K12" s="167"/>
      <c r="L12" s="168"/>
      <c r="M12" s="169"/>
      <c r="N12" s="167"/>
      <c r="O12" s="168"/>
      <c r="P12" s="167"/>
      <c r="Q12" s="167"/>
    </row>
    <row r="13" spans="1:17" ht="13" x14ac:dyDescent="0.3">
      <c r="A13" s="167"/>
      <c r="B13" s="167"/>
      <c r="C13" s="168"/>
      <c r="D13" s="169"/>
      <c r="E13" s="167"/>
      <c r="F13" s="167"/>
      <c r="G13" s="167"/>
      <c r="H13" s="168"/>
      <c r="I13" s="169"/>
      <c r="J13" s="167"/>
      <c r="K13" s="167"/>
      <c r="L13" s="168"/>
      <c r="M13" s="169"/>
      <c r="N13" s="167"/>
      <c r="O13" s="168"/>
      <c r="P13" s="167"/>
      <c r="Q13" s="167"/>
    </row>
    <row r="14" spans="1:17" ht="13" x14ac:dyDescent="0.3">
      <c r="A14" s="167"/>
      <c r="B14" s="167"/>
      <c r="C14" s="168"/>
      <c r="D14" s="169"/>
      <c r="E14" s="167"/>
      <c r="F14" s="167"/>
      <c r="G14" s="167"/>
      <c r="H14" s="168"/>
      <c r="I14" s="169"/>
      <c r="J14" s="167"/>
      <c r="K14" s="167"/>
      <c r="L14" s="168"/>
      <c r="M14" s="169"/>
      <c r="N14" s="167"/>
      <c r="O14" s="168"/>
      <c r="P14" s="167"/>
      <c r="Q14" s="167"/>
    </row>
    <row r="15" spans="1:17" ht="13" x14ac:dyDescent="0.3">
      <c r="A15" s="167"/>
      <c r="B15" s="167"/>
      <c r="C15" s="168"/>
      <c r="D15" s="169"/>
      <c r="E15" s="167"/>
      <c r="F15" s="167"/>
      <c r="G15" s="167"/>
      <c r="H15" s="168"/>
      <c r="I15" s="169"/>
      <c r="J15" s="167"/>
      <c r="K15" s="167"/>
      <c r="L15" s="168"/>
      <c r="M15" s="169"/>
      <c r="N15" s="167"/>
      <c r="O15" s="168"/>
      <c r="P15" s="167"/>
      <c r="Q15" s="167"/>
    </row>
    <row r="16" spans="1:17" ht="13" x14ac:dyDescent="0.3">
      <c r="A16" s="167"/>
      <c r="B16" s="167"/>
      <c r="C16" s="168"/>
      <c r="D16" s="169"/>
      <c r="E16" s="167"/>
      <c r="F16" s="167"/>
      <c r="G16" s="167"/>
      <c r="H16" s="168"/>
      <c r="I16" s="169"/>
      <c r="J16" s="167"/>
      <c r="K16" s="167"/>
      <c r="L16" s="168"/>
      <c r="M16" s="169"/>
      <c r="N16" s="167"/>
      <c r="O16" s="168"/>
      <c r="P16" s="167"/>
      <c r="Q16" s="167"/>
    </row>
    <row r="17" spans="1:18" ht="13" x14ac:dyDescent="0.3">
      <c r="A17" s="167"/>
      <c r="B17" s="167"/>
      <c r="C17" s="168"/>
      <c r="D17" s="169"/>
      <c r="E17" s="167"/>
      <c r="F17" s="167"/>
      <c r="G17" s="167"/>
      <c r="H17" s="168"/>
      <c r="I17" s="169"/>
      <c r="J17" s="167"/>
      <c r="K17" s="167"/>
      <c r="L17" s="168"/>
      <c r="M17" s="169"/>
      <c r="N17" s="167"/>
      <c r="O17" s="168"/>
      <c r="P17" s="167"/>
      <c r="Q17" s="167"/>
      <c r="R17" s="4"/>
    </row>
    <row r="18" spans="1:18" ht="13" x14ac:dyDescent="0.3">
      <c r="A18" s="167"/>
      <c r="B18" s="167"/>
      <c r="C18" s="168"/>
      <c r="D18" s="169"/>
      <c r="E18" s="167"/>
      <c r="F18" s="167"/>
      <c r="G18" s="167"/>
      <c r="H18" s="168"/>
      <c r="I18" s="169"/>
      <c r="J18" s="167"/>
      <c r="K18" s="167"/>
      <c r="L18" s="168"/>
      <c r="M18" s="169"/>
      <c r="N18" s="167"/>
      <c r="O18" s="168"/>
      <c r="P18" s="167"/>
      <c r="Q18" s="167"/>
    </row>
    <row r="19" spans="1:18" ht="13" x14ac:dyDescent="0.3">
      <c r="A19" s="167"/>
      <c r="B19" s="167"/>
      <c r="C19" s="168"/>
      <c r="D19" s="169"/>
      <c r="E19" s="167"/>
      <c r="F19" s="167"/>
      <c r="G19" s="167"/>
      <c r="H19" s="168"/>
      <c r="I19" s="169"/>
      <c r="J19" s="167"/>
      <c r="K19" s="167"/>
      <c r="L19" s="168"/>
      <c r="M19" s="169"/>
      <c r="N19" s="167"/>
      <c r="O19" s="168"/>
      <c r="P19" s="167"/>
      <c r="Q19" s="167"/>
    </row>
    <row r="20" spans="1:18" ht="13" x14ac:dyDescent="0.3">
      <c r="A20" s="167"/>
      <c r="B20" s="167"/>
      <c r="C20" s="168"/>
      <c r="D20" s="169"/>
      <c r="E20" s="167"/>
      <c r="F20" s="167"/>
      <c r="G20" s="167"/>
      <c r="H20" s="168"/>
      <c r="I20" s="169"/>
      <c r="J20" s="167"/>
      <c r="K20" s="167"/>
      <c r="L20" s="168"/>
      <c r="M20" s="169"/>
      <c r="N20" s="167"/>
      <c r="O20" s="168"/>
      <c r="P20" s="167"/>
      <c r="Q20" s="167"/>
    </row>
    <row r="21" spans="1:18" ht="13" x14ac:dyDescent="0.3">
      <c r="A21" s="167"/>
      <c r="B21" s="167"/>
      <c r="C21" s="168"/>
      <c r="D21" s="169"/>
      <c r="E21" s="167"/>
      <c r="F21" s="167"/>
      <c r="G21" s="167"/>
      <c r="H21" s="168"/>
      <c r="I21" s="169"/>
      <c r="J21" s="167"/>
      <c r="K21" s="167"/>
      <c r="L21" s="168"/>
      <c r="M21" s="169"/>
      <c r="N21" s="167"/>
      <c r="O21" s="168"/>
      <c r="P21" s="167"/>
      <c r="Q21" s="167"/>
    </row>
    <row r="22" spans="1:18" ht="13" x14ac:dyDescent="0.3">
      <c r="A22" s="167"/>
      <c r="B22" s="167"/>
      <c r="C22" s="168"/>
      <c r="D22" s="169"/>
      <c r="E22" s="167"/>
      <c r="F22" s="167"/>
      <c r="G22" s="167"/>
      <c r="H22" s="168"/>
      <c r="I22" s="169"/>
      <c r="J22" s="167"/>
      <c r="K22" s="167"/>
      <c r="L22" s="168"/>
      <c r="M22" s="169"/>
      <c r="N22" s="167"/>
      <c r="O22" s="168"/>
      <c r="P22" s="167"/>
      <c r="Q22" s="167"/>
    </row>
    <row r="23" spans="1:18" ht="13" x14ac:dyDescent="0.3">
      <c r="A23" s="167"/>
      <c r="B23" s="167"/>
      <c r="C23" s="168"/>
      <c r="D23" s="169"/>
      <c r="E23" s="167"/>
      <c r="F23" s="167"/>
      <c r="G23" s="167"/>
      <c r="H23" s="168"/>
      <c r="I23" s="169"/>
      <c r="J23" s="167"/>
      <c r="K23" s="167"/>
      <c r="L23" s="168"/>
      <c r="M23" s="169"/>
      <c r="N23" s="167"/>
      <c r="O23" s="168"/>
      <c r="P23" s="167"/>
      <c r="Q23" s="167"/>
    </row>
    <row r="24" spans="1:18" ht="13" x14ac:dyDescent="0.3">
      <c r="A24" s="167"/>
      <c r="B24" s="167"/>
      <c r="C24" s="168"/>
      <c r="D24" s="169"/>
      <c r="E24" s="167"/>
      <c r="F24" s="167"/>
      <c r="G24" s="167"/>
      <c r="H24" s="168"/>
      <c r="I24" s="169"/>
      <c r="J24" s="167"/>
      <c r="K24" s="167"/>
      <c r="L24" s="168"/>
      <c r="M24" s="169"/>
      <c r="N24" s="167"/>
      <c r="O24" s="168"/>
      <c r="P24" s="167"/>
      <c r="Q24" s="167"/>
    </row>
    <row r="25" spans="1:18" ht="13" x14ac:dyDescent="0.3">
      <c r="A25" s="167"/>
      <c r="B25" s="167"/>
      <c r="C25" s="168"/>
      <c r="D25" s="169"/>
      <c r="E25" s="167"/>
      <c r="F25" s="167"/>
      <c r="G25" s="167"/>
      <c r="H25" s="168"/>
      <c r="I25" s="169"/>
      <c r="J25" s="167"/>
      <c r="K25" s="167"/>
      <c r="L25" s="168"/>
      <c r="M25" s="169"/>
      <c r="N25" s="167"/>
      <c r="O25" s="168"/>
      <c r="P25" s="167"/>
      <c r="Q25" s="167"/>
    </row>
    <row r="26" spans="1:18" ht="13" x14ac:dyDescent="0.3">
      <c r="A26" s="167"/>
      <c r="B26" s="167"/>
      <c r="C26" s="168"/>
      <c r="D26" s="169"/>
      <c r="E26" s="167"/>
      <c r="F26" s="167"/>
      <c r="G26" s="167"/>
      <c r="H26" s="168"/>
      <c r="I26" s="169"/>
      <c r="J26" s="167"/>
      <c r="K26" s="167"/>
      <c r="L26" s="168"/>
      <c r="M26" s="169"/>
      <c r="N26" s="167"/>
      <c r="O26" s="168"/>
      <c r="P26" s="167"/>
      <c r="Q26" s="167"/>
    </row>
    <row r="27" spans="1:18" ht="13" x14ac:dyDescent="0.3">
      <c r="A27" s="167"/>
      <c r="B27" s="167"/>
      <c r="C27" s="168"/>
      <c r="D27" s="169"/>
      <c r="E27" s="167"/>
      <c r="F27" s="167"/>
      <c r="G27" s="167"/>
      <c r="H27" s="168"/>
      <c r="I27" s="169"/>
      <c r="J27" s="167"/>
      <c r="K27" s="167"/>
      <c r="L27" s="168"/>
      <c r="M27" s="169"/>
      <c r="N27" s="167"/>
      <c r="O27" s="168"/>
      <c r="P27" s="167"/>
      <c r="Q27" s="167"/>
    </row>
  </sheetData>
  <pageMargins left="0.7" right="0.7" top="0.78740157499999996" bottom="0.78740157499999996" header="0.3" footer="0.3"/>
  <pageSetup paperSize="9" scale="5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5570B9E3FE8DF84393F3C0E10ABDBFC8" ma:contentTypeVersion="14" ma:contentTypeDescription="Ein neues Dokument erstellen." ma:contentTypeScope="" ma:versionID="440430c9eb96742db7d93a46b9f4ccf6">
  <xsd:schema xmlns:xsd="http://www.w3.org/2001/XMLSchema" xmlns:xs="http://www.w3.org/2001/XMLSchema" xmlns:p="http://schemas.microsoft.com/office/2006/metadata/properties" xmlns:ns2="8a1481b5-007e-4a0c-a7b3-f5b5308a77d8" xmlns:ns3="33b5df20-5aa3-47c7-bf08-3e656d402312" targetNamespace="http://schemas.microsoft.com/office/2006/metadata/properties" ma:root="true" ma:fieldsID="3d091da72516d77ca3789dc48fedbe1e" ns2:_="" ns3:_="">
    <xsd:import namespace="8a1481b5-007e-4a0c-a7b3-f5b5308a77d8"/>
    <xsd:import namespace="33b5df20-5aa3-47c7-bf08-3e656d402312"/>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a1481b5-007e-4a0c-a7b3-f5b5308a77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description="" ma:hidden="true" ma:indexed="true" ma:internalName="MediaServiceObjectDetectorVersions" ma:readOnly="true">
      <xsd:simpleType>
        <xsd:restriction base="dms:Text"/>
      </xsd:simpleType>
    </xsd:element>
    <xsd:element name="lcf76f155ced4ddcb4097134ff3c332f" ma:index="14" nillable="true" ma:taxonomy="true" ma:internalName="lcf76f155ced4ddcb4097134ff3c332f" ma:taxonomyFieldName="MediaServiceImageTags" ma:displayName="Bildmarkierungen" ma:readOnly="false" ma:fieldId="{5cf76f15-5ced-4ddc-b409-7134ff3c332f}" ma:taxonomyMulti="true" ma:sspId="ea336cc1-c880-46a5-bde2-a0cdb5200fc0"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descriptio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3b5df20-5aa3-47c7-bf08-3e656d402312" elementFormDefault="qualified">
    <xsd:import namespace="http://schemas.microsoft.com/office/2006/documentManagement/types"/>
    <xsd:import namespace="http://schemas.microsoft.com/office/infopath/2007/PartnerControls"/>
    <xsd:element name="SharedWithUsers" ma:index="11"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Freigegeben für - Details" ma:internalName="SharedWithDetails" ma:readOnly="true">
      <xsd:simpleType>
        <xsd:restriction base="dms:Note">
          <xsd:maxLength value="255"/>
        </xsd:restriction>
      </xsd:simpleType>
    </xsd:element>
    <xsd:element name="TaxCatchAll" ma:index="15" nillable="true" ma:displayName="Taxonomy Catch All Column" ma:hidden="true" ma:list="{b54b14bb-3514-42a0-9001-d8310b60e214}" ma:internalName="TaxCatchAll" ma:showField="CatchAllData" ma:web="33b5df20-5aa3-47c7-bf08-3e656d40231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33b5df20-5aa3-47c7-bf08-3e656d402312" xsi:nil="true"/>
    <lcf76f155ced4ddcb4097134ff3c332f xmlns="8a1481b5-007e-4a0c-a7b3-f5b5308a77d8">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1692707-FD32-486D-A68A-E0BC3F89C2B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a1481b5-007e-4a0c-a7b3-f5b5308a77d8"/>
    <ds:schemaRef ds:uri="33b5df20-5aa3-47c7-bf08-3e656d4023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C8D4D5C-4CC4-4A50-B93C-A844993AFDE7}">
  <ds:schemaRefs>
    <ds:schemaRef ds:uri="http://purl.org/dc/dcmitype/"/>
    <ds:schemaRef ds:uri="http://schemas.openxmlformats.org/package/2006/metadata/core-properties"/>
    <ds:schemaRef ds:uri="http://purl.org/dc/elements/1.1/"/>
    <ds:schemaRef ds:uri="8a1481b5-007e-4a0c-a7b3-f5b5308a77d8"/>
    <ds:schemaRef ds:uri="http://schemas.microsoft.com/office/2006/documentManagement/types"/>
    <ds:schemaRef ds:uri="http://schemas.microsoft.com/office/infopath/2007/PartnerControls"/>
    <ds:schemaRef ds:uri="http://purl.org/dc/terms/"/>
    <ds:schemaRef ds:uri="33b5df20-5aa3-47c7-bf08-3e656d402312"/>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851A6FD6-925E-415C-9BDC-F1F22E51ECD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Übersicht</vt:lpstr>
      <vt:lpstr>Vorlage_Total Auslastung</vt:lpstr>
      <vt:lpstr>Vorlage_Gruppen</vt:lpstr>
      <vt:lpstr>Vorlage_Mutationen für Gruppen</vt:lpstr>
      <vt:lpstr>Vorlage_Mutationen</vt:lpstr>
      <vt:lpstr>Vorlage_Wünsche Eltern</vt:lpstr>
      <vt:lpstr>Vorlage_Gruppen!Druckbereich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Christian Fürst</dc:creator>
  <cp:keywords/>
  <dc:description/>
  <cp:lastModifiedBy>Jerome Sigg</cp:lastModifiedBy>
  <cp:revision>1</cp:revision>
  <cp:lastPrinted>2023-06-30T12:29:37Z</cp:lastPrinted>
  <dcterms:created xsi:type="dcterms:W3CDTF">2003-02-08T17:11:22Z</dcterms:created>
  <dcterms:modified xsi:type="dcterms:W3CDTF">2024-10-01T19:46:57Z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0x0101005570B9E3FE8DF84393F3C0E10ABDBFC8</vt:lpwstr>
  </property>
  <property fmtid="{D5CDD505-2E9C-101B-9397-08002B2CF9AE}" pid="3" name="Order">
    <vt:r8>2200</vt:r8>
  </property>
  <property fmtid="{D5CDD505-2E9C-101B-9397-08002B2CF9AE}" pid="4" name="MediaServiceImageTags">
    <vt:lpwstr/>
  </property>
</Properties>
</file>